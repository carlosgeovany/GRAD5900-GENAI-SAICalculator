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725" codeName="{DD97A8EA-9A9A-E61F-A557-7D5A7D7259CE}"/>
  <workbookPr codeName="ThisWorkbook" defaultThemeVersion="124226"/>
  <mc:AlternateContent xmlns:mc="http://schemas.openxmlformats.org/markup-compatibility/2006">
    <mc:Choice Requires="x15">
      <x15ac:absPath xmlns:x15ac="http://schemas.microsoft.com/office/spreadsheetml/2010/11/ac" url="https://uconn-my.sharepoint.com/personal/carlos_perez_velazquez_uconn_edu/Documents/Documents/Masters/GRAD5900/GRAD5900-GENAI-SAICalculator/data/policy/"/>
    </mc:Choice>
  </mc:AlternateContent>
  <xr:revisionPtr revIDLastSave="204" documentId="8_{86D2AA5C-1C75-4508-B1CE-6E750FC5334E}" xr6:coauthVersionLast="47" xr6:coauthVersionMax="47" xr10:uidLastSave="{26443BCF-2587-4833-9431-0A3D224559D8}"/>
  <bookViews>
    <workbookView xWindow="-24540" yWindow="1920" windowWidth="21600" windowHeight="11295" tabRatio="913" firstSheet="1" activeTab="1" xr2:uid="{00000000-000D-0000-FFFF-FFFF00000000}"/>
  </bookViews>
  <sheets>
    <sheet name="Student Info" sheetId="28" r:id="rId1"/>
    <sheet name="Calculator" sheetId="29" r:id="rId2"/>
    <sheet name="Formula A-Parents" sheetId="7" r:id="rId3"/>
    <sheet name="Formula A- Student" sheetId="9" r:id="rId4"/>
    <sheet name="Table A1 " sheetId="11" r:id="rId5"/>
    <sheet name="Tables A2, A3, A4" sheetId="12" r:id="rId6"/>
    <sheet name="Table A5" sheetId="13" r:id="rId7"/>
    <sheet name="Formula B" sheetId="14" r:id="rId8"/>
    <sheet name="Table B1" sheetId="16" r:id="rId9"/>
    <sheet name="Table B2, B3" sheetId="17" r:id="rId10"/>
    <sheet name="Formula C" sheetId="18" r:id="rId11"/>
    <sheet name="Table C1" sheetId="20" r:id="rId12"/>
    <sheet name="Table C2,C3,C4" sheetId="21" r:id="rId13"/>
    <sheet name="Tables C5,C6" sheetId="22" r:id="rId14"/>
    <sheet name="Table 23" sheetId="23" r:id="rId15"/>
    <sheet name="Poverty guideline table" sheetId="30" r:id="rId16"/>
  </sheets>
  <definedNames>
    <definedName name="_xlnm._FilterDatabase" localSheetId="0" hidden="1">'Student Info'!$A$1:$BC$34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 i="30" l="1"/>
  <c r="F5" i="30" s="1"/>
  <c r="F6" i="30" s="1"/>
  <c r="F7" i="30" s="1"/>
  <c r="F8" i="30" s="1"/>
  <c r="F9" i="30" s="1"/>
  <c r="F10" i="30" s="1"/>
  <c r="F11" i="30" s="1"/>
  <c r="F12" i="30" s="1"/>
  <c r="F13" i="30" s="1"/>
  <c r="F14" i="30" s="1"/>
  <c r="F15" i="30" s="1"/>
  <c r="F16" i="30" s="1"/>
  <c r="F17" i="30" s="1"/>
  <c r="F18" i="30" s="1"/>
  <c r="F19" i="30" s="1"/>
  <c r="F20" i="30" s="1"/>
  <c r="F21" i="30" s="1"/>
  <c r="F22" i="30" s="1"/>
  <c r="D4" i="30"/>
  <c r="D5" i="30" s="1"/>
  <c r="D6" i="30" s="1"/>
  <c r="D7" i="30" s="1"/>
  <c r="D8" i="30" s="1"/>
  <c r="D9" i="30" s="1"/>
  <c r="D10" i="30" s="1"/>
  <c r="D11" i="30" s="1"/>
  <c r="D12" i="30" s="1"/>
  <c r="D13" i="30" s="1"/>
  <c r="D14" i="30" s="1"/>
  <c r="D15" i="30" s="1"/>
  <c r="D16" i="30" s="1"/>
  <c r="D17" i="30" s="1"/>
  <c r="D18" i="30" s="1"/>
  <c r="D19" i="30" s="1"/>
  <c r="D20" i="30" s="1"/>
  <c r="D21" i="30" s="1"/>
  <c r="D22" i="30" s="1"/>
  <c r="B4" i="30"/>
  <c r="B5" i="30" s="1"/>
  <c r="B6" i="30" s="1"/>
  <c r="B7" i="30" s="1"/>
  <c r="B8" i="30" s="1"/>
  <c r="B9" i="30" s="1"/>
  <c r="B10" i="30" s="1"/>
  <c r="B11" i="30" s="1"/>
  <c r="B12" i="30" s="1"/>
  <c r="B13" i="30" s="1"/>
  <c r="B14" i="30" s="1"/>
  <c r="B15" i="30" s="1"/>
  <c r="B16" i="30" s="1"/>
  <c r="B17" i="30" s="1"/>
  <c r="B18" i="30" s="1"/>
  <c r="B19" i="30" s="1"/>
  <c r="B20" i="30" s="1"/>
  <c r="B21" i="30" s="1"/>
  <c r="B22" i="30" s="1"/>
  <c r="C22" i="14"/>
  <c r="C22" i="18"/>
  <c r="C21" i="14"/>
  <c r="E3" i="13"/>
  <c r="U4" i="12"/>
  <c r="H21" i="18"/>
  <c r="H20" i="18" s="1"/>
  <c r="F3" i="20"/>
  <c r="G3" i="20" s="1"/>
  <c r="E3" i="20"/>
  <c r="B23" i="11"/>
  <c r="B8" i="11"/>
  <c r="B11" i="16"/>
  <c r="F17" i="7"/>
  <c r="B7" i="11"/>
  <c r="D3" i="11"/>
  <c r="F27" i="18"/>
  <c r="B18" i="20"/>
  <c r="I4" i="22"/>
  <c r="E8" i="22"/>
  <c r="E7" i="22"/>
  <c r="E6" i="22"/>
  <c r="E5" i="22"/>
  <c r="E4" i="22"/>
  <c r="H3" i="20" l="1"/>
  <c r="H4" i="20" s="1"/>
  <c r="C3" i="9"/>
  <c r="AS2" i="28"/>
  <c r="AR2" i="28"/>
  <c r="AQ2" i="28"/>
  <c r="AP2" i="28"/>
  <c r="AO2" i="28"/>
  <c r="AN2" i="28"/>
  <c r="AM2" i="28"/>
  <c r="AL2" i="28"/>
  <c r="AK2" i="28"/>
  <c r="AJ2" i="28"/>
  <c r="AH2" i="28"/>
  <c r="AG2" i="28"/>
  <c r="AF2" i="28"/>
  <c r="AE2" i="28"/>
  <c r="AD2" i="28"/>
  <c r="AC2" i="28"/>
  <c r="Z2" i="28"/>
  <c r="Y2" i="28"/>
  <c r="W2" i="28"/>
  <c r="V2" i="28"/>
  <c r="U2" i="28"/>
  <c r="P2" i="28"/>
  <c r="N2" i="28"/>
  <c r="L2" i="28"/>
  <c r="K2" i="28"/>
  <c r="AA2" i="28"/>
  <c r="A2" i="28"/>
  <c r="I2" i="28"/>
  <c r="AV2" i="28"/>
  <c r="AW2" i="28"/>
  <c r="AT2" i="28" l="1"/>
  <c r="H34" i="30"/>
  <c r="F31" i="30"/>
  <c r="F33" i="30"/>
  <c r="F32" i="30"/>
  <c r="D33" i="30"/>
  <c r="D32" i="30"/>
  <c r="D31" i="30"/>
  <c r="B33" i="30"/>
  <c r="B32" i="30"/>
  <c r="B31" i="30"/>
  <c r="B30" i="30"/>
  <c r="B29" i="30"/>
  <c r="B26" i="30"/>
  <c r="F26" i="30"/>
  <c r="F27" i="30"/>
  <c r="D27" i="30"/>
  <c r="D26" i="30"/>
  <c r="B27" i="30"/>
  <c r="H32" i="30" l="1" a="1"/>
  <c r="H32" i="30" s="1"/>
  <c r="H33" i="30" a="1"/>
  <c r="H33" i="30" s="1"/>
  <c r="H30" i="30" a="1"/>
  <c r="H30" i="30" s="1"/>
  <c r="H31" i="30" a="1"/>
  <c r="H31" i="30" s="1"/>
  <c r="H5" i="22"/>
  <c r="H6" i="22"/>
  <c r="H7" i="22"/>
  <c r="H8" i="22"/>
  <c r="H4" i="22"/>
  <c r="L6" i="21"/>
  <c r="L7" i="21"/>
  <c r="L5" i="21"/>
  <c r="I7" i="21"/>
  <c r="I6" i="21"/>
  <c r="I5" i="21"/>
  <c r="G3" i="21"/>
  <c r="G4" i="21"/>
  <c r="G5" i="21"/>
  <c r="G6" i="21"/>
  <c r="G7" i="21" s="1"/>
  <c r="G8" i="21" s="1"/>
  <c r="G9" i="21" s="1"/>
  <c r="G10" i="21" s="1"/>
  <c r="G11" i="21" s="1"/>
  <c r="G12" i="21" s="1"/>
  <c r="G13" i="21" s="1"/>
  <c r="G14" i="21" s="1"/>
  <c r="G15" i="21" s="1"/>
  <c r="G16" i="21" s="1"/>
  <c r="G17" i="21" s="1"/>
  <c r="G18" i="21" s="1"/>
  <c r="G19" i="21" s="1"/>
  <c r="G20" i="21" s="1"/>
  <c r="G2" i="21"/>
  <c r="F4" i="21"/>
  <c r="F5" i="21"/>
  <c r="F6" i="21"/>
  <c r="F7" i="21" s="1"/>
  <c r="F8" i="21" s="1"/>
  <c r="F9" i="21" s="1"/>
  <c r="F10" i="21" s="1"/>
  <c r="F11" i="21" s="1"/>
  <c r="F12" i="21" s="1"/>
  <c r="F13" i="21" s="1"/>
  <c r="F14" i="21" s="1"/>
  <c r="F15" i="21" s="1"/>
  <c r="F16" i="21" s="1"/>
  <c r="F17" i="21" s="1"/>
  <c r="F18" i="21" s="1"/>
  <c r="F19" i="21" s="1"/>
  <c r="F20" i="21" s="1"/>
  <c r="F3" i="21"/>
  <c r="L4" i="17"/>
  <c r="L6" i="17"/>
  <c r="L7" i="17"/>
  <c r="L5" i="17"/>
  <c r="I5" i="17"/>
  <c r="I6" i="17"/>
  <c r="I7" i="17"/>
  <c r="I4" i="17"/>
  <c r="I4" i="13"/>
  <c r="H6" i="13"/>
  <c r="H7" i="13"/>
  <c r="H8" i="13"/>
  <c r="H5" i="13"/>
  <c r="H4" i="13"/>
  <c r="E5" i="13"/>
  <c r="E6" i="13"/>
  <c r="E7" i="13"/>
  <c r="E8" i="13"/>
  <c r="E4" i="13"/>
  <c r="R6" i="12"/>
  <c r="R7" i="12"/>
  <c r="R5" i="12"/>
  <c r="O7" i="12"/>
  <c r="O6" i="12"/>
  <c r="O5" i="12"/>
  <c r="U5" i="12" s="1"/>
  <c r="C33" i="9" s="1"/>
  <c r="I7" i="11"/>
  <c r="H7" i="11"/>
  <c r="G7" i="11"/>
  <c r="F7" i="11"/>
  <c r="E7" i="11"/>
  <c r="D7" i="11"/>
  <c r="I10" i="29"/>
  <c r="I9" i="29" s="1"/>
  <c r="H28" i="30"/>
  <c r="H22" i="30"/>
  <c r="H23" i="30"/>
  <c r="F30" i="30"/>
  <c r="D30" i="30"/>
  <c r="F29" i="30"/>
  <c r="D29" i="30"/>
  <c r="F25" i="30"/>
  <c r="D25" i="30"/>
  <c r="B25" i="30"/>
  <c r="F24" i="30"/>
  <c r="D24" i="30"/>
  <c r="B24" i="30"/>
  <c r="B12" i="16"/>
  <c r="E8" i="16"/>
  <c r="J8" i="11"/>
  <c r="B25" i="11" s="1"/>
  <c r="C19" i="9" s="1"/>
  <c r="F18" i="7"/>
  <c r="O16" i="29" a="1"/>
  <c r="O16" i="29" s="1"/>
  <c r="O2" i="21"/>
  <c r="C30" i="18"/>
  <c r="C31" i="18"/>
  <c r="C29" i="18"/>
  <c r="C21" i="18"/>
  <c r="F21" i="18" s="1"/>
  <c r="B12" i="20"/>
  <c r="B11" i="20"/>
  <c r="E8" i="20" s="1"/>
  <c r="B7" i="20"/>
  <c r="C17" i="18"/>
  <c r="C12" i="18"/>
  <c r="C13" i="18"/>
  <c r="C11" i="18"/>
  <c r="C4" i="18"/>
  <c r="C5" i="18"/>
  <c r="C6" i="18"/>
  <c r="C8" i="18"/>
  <c r="C3" i="18"/>
  <c r="C53" i="29"/>
  <c r="C36" i="14" s="1"/>
  <c r="O2" i="17"/>
  <c r="C32" i="14"/>
  <c r="C33" i="14"/>
  <c r="C31" i="14"/>
  <c r="B7" i="16"/>
  <c r="C17" i="14"/>
  <c r="C12" i="14"/>
  <c r="C13" i="14"/>
  <c r="C11" i="14"/>
  <c r="C4" i="14"/>
  <c r="C5" i="14"/>
  <c r="C6" i="14"/>
  <c r="C8" i="14"/>
  <c r="C3" i="14"/>
  <c r="C32" i="9"/>
  <c r="C31" i="9"/>
  <c r="C17" i="9"/>
  <c r="C12" i="9"/>
  <c r="C13" i="9"/>
  <c r="C11" i="9"/>
  <c r="C4" i="9"/>
  <c r="C5" i="9"/>
  <c r="C6" i="9"/>
  <c r="C8" i="9"/>
  <c r="E7" i="29"/>
  <c r="G16" i="12" s="1"/>
  <c r="C6" i="29"/>
  <c r="C7" i="29"/>
  <c r="U2" i="12"/>
  <c r="U3" i="12" s="1"/>
  <c r="C32" i="7" s="1"/>
  <c r="O3" i="21" l="1"/>
  <c r="C32" i="18" s="1"/>
  <c r="C33" i="18" s="1"/>
  <c r="O3" i="17"/>
  <c r="C34" i="14" s="1"/>
  <c r="C35" i="14" s="1"/>
  <c r="C37" i="14" s="1"/>
  <c r="J29" i="30"/>
  <c r="H25" i="30" a="1"/>
  <c r="H25" i="30" s="1"/>
  <c r="H27" i="30"/>
  <c r="H26" i="30"/>
  <c r="H24" i="30" a="1"/>
  <c r="H24" i="30" s="1"/>
  <c r="H29" i="30" a="1"/>
  <c r="H29" i="30" s="1"/>
  <c r="J28" i="30" s="1" a="1"/>
  <c r="J28" i="30" s="1"/>
  <c r="E7" i="20"/>
  <c r="I7" i="20"/>
  <c r="F8" i="20"/>
  <c r="I8" i="20"/>
  <c r="C14" i="18"/>
  <c r="F7" i="20"/>
  <c r="B13" i="20"/>
  <c r="G8" i="20" s="1"/>
  <c r="B21" i="20" s="1"/>
  <c r="C20" i="18" s="1"/>
  <c r="H7" i="20"/>
  <c r="C9" i="18"/>
  <c r="C34" i="18"/>
  <c r="C14" i="14"/>
  <c r="F8" i="16"/>
  <c r="I8" i="16"/>
  <c r="E7" i="16"/>
  <c r="I7" i="16"/>
  <c r="F7" i="16"/>
  <c r="H7" i="16"/>
  <c r="B13" i="16"/>
  <c r="H8" i="16" s="1"/>
  <c r="C9" i="14"/>
  <c r="C34" i="9"/>
  <c r="C9" i="9"/>
  <c r="J9" i="11"/>
  <c r="B30" i="11" s="1"/>
  <c r="C20" i="9" s="1"/>
  <c r="C14" i="9"/>
  <c r="E6" i="29"/>
  <c r="E16" i="12" s="1"/>
  <c r="D17" i="12" s="1"/>
  <c r="C34" i="7" s="1"/>
  <c r="C31" i="7"/>
  <c r="C30" i="7"/>
  <c r="C29" i="7"/>
  <c r="M4" i="12"/>
  <c r="M5" i="12"/>
  <c r="M6" i="12"/>
  <c r="M8" i="12" s="1"/>
  <c r="M10" i="12" s="1"/>
  <c r="M12" i="12" s="1"/>
  <c r="M14" i="12" s="1"/>
  <c r="M16" i="12" s="1"/>
  <c r="M18" i="12" s="1"/>
  <c r="M20" i="12" s="1"/>
  <c r="M7" i="12"/>
  <c r="M9" i="12" s="1"/>
  <c r="M11" i="12" s="1"/>
  <c r="M13" i="12" s="1"/>
  <c r="M15" i="12" s="1"/>
  <c r="M17" i="12" s="1"/>
  <c r="M19" i="12" s="1"/>
  <c r="M21" i="12" s="1"/>
  <c r="M3" i="12"/>
  <c r="B20" i="11"/>
  <c r="B18" i="11"/>
  <c r="B9" i="11"/>
  <c r="F21" i="7"/>
  <c r="C17" i="7"/>
  <c r="C12" i="7"/>
  <c r="C13" i="7"/>
  <c r="C11" i="7"/>
  <c r="C4" i="7"/>
  <c r="C5" i="7"/>
  <c r="C6" i="7"/>
  <c r="C8" i="7"/>
  <c r="C3" i="7"/>
  <c r="J23" i="30" l="1"/>
  <c r="J22" i="30" a="1"/>
  <c r="J22" i="30" s="1"/>
  <c r="O18" i="29" s="1"/>
  <c r="O20" i="29" s="1"/>
  <c r="C15" i="14"/>
  <c r="C25" i="14" s="1"/>
  <c r="C15" i="18"/>
  <c r="C25" i="18" s="1"/>
  <c r="H8" i="20"/>
  <c r="G7" i="20"/>
  <c r="B14" i="20" s="1"/>
  <c r="C19" i="18" s="1"/>
  <c r="C23" i="18" s="1"/>
  <c r="C35" i="18"/>
  <c r="G7" i="16"/>
  <c r="B14" i="16" s="1"/>
  <c r="C19" i="14" s="1"/>
  <c r="G8" i="16"/>
  <c r="B21" i="16" s="1"/>
  <c r="C20" i="14" s="1"/>
  <c r="C14" i="7"/>
  <c r="C15" i="9"/>
  <c r="C25" i="9" s="1"/>
  <c r="C33" i="7"/>
  <c r="C9" i="7"/>
  <c r="G8" i="11"/>
  <c r="C22" i="7"/>
  <c r="C21" i="7"/>
  <c r="B10" i="11"/>
  <c r="C26" i="18" l="1"/>
  <c r="C27" i="18" s="1"/>
  <c r="C39" i="18" s="1"/>
  <c r="F23" i="18"/>
  <c r="F20" i="18"/>
  <c r="C23" i="14"/>
  <c r="C26" i="14" s="1"/>
  <c r="C27" i="14" s="1"/>
  <c r="C29" i="14" s="1"/>
  <c r="C41" i="14" s="1"/>
  <c r="O19" i="29"/>
  <c r="I9" i="11"/>
  <c r="E9" i="11"/>
  <c r="D9" i="11"/>
  <c r="G9" i="11"/>
  <c r="F9" i="11"/>
  <c r="H9" i="11"/>
  <c r="C37" i="18"/>
  <c r="C40" i="18" s="1"/>
  <c r="C15" i="7"/>
  <c r="C25" i="7" s="1"/>
  <c r="E8" i="11"/>
  <c r="F8" i="11"/>
  <c r="H8" i="11"/>
  <c r="D8" i="11"/>
  <c r="B14" i="11" l="1"/>
  <c r="C19" i="7" s="1"/>
  <c r="B21" i="11"/>
  <c r="C20" i="7" s="1"/>
  <c r="C36" i="9"/>
  <c r="C40" i="9" s="1"/>
  <c r="C39" i="14"/>
  <c r="C42" i="14" s="1"/>
  <c r="C43" i="14" s="1"/>
  <c r="C36" i="7"/>
  <c r="C40" i="7" s="1"/>
  <c r="C41" i="18"/>
  <c r="M1" i="22" s="1"/>
  <c r="M2" i="22" s="1"/>
  <c r="C42" i="18" s="1"/>
  <c r="C43" i="18" s="1"/>
  <c r="C23" i="7" l="1"/>
  <c r="C26" i="7" s="1"/>
  <c r="C27" i="7" s="1"/>
  <c r="C39" i="7" s="1"/>
  <c r="C41" i="7" s="1"/>
  <c r="C22" i="9" s="1"/>
  <c r="C23" i="9" s="1"/>
  <c r="C26" i="9" s="1"/>
  <c r="C27" i="9" s="1"/>
  <c r="C29" i="9" l="1"/>
  <c r="C39" i="9" s="1"/>
  <c r="M1" i="13"/>
  <c r="M2" i="13" s="1"/>
  <c r="C43" i="7" s="1"/>
  <c r="C38" i="9" s="1"/>
  <c r="C41" i="9" l="1"/>
  <c r="O17" i="29" s="1" a="1"/>
  <c r="O17" i="29"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<sst xmlns="http://schemas.openxmlformats.org/spreadsheetml/2006/main" count="909" uniqueCount="500">
  <si>
    <t>Student Dependency Status</t>
  </si>
  <si>
    <t>Parent Family Size</t>
  </si>
  <si>
    <t>Parent 1 DOB</t>
  </si>
  <si>
    <t>Parent 2 DOB</t>
  </si>
  <si>
    <t>Did the Parent's file a Schedule A, B, D,E,F, or H?</t>
  </si>
  <si>
    <t>Did the Parent's file a Schedule C?</t>
  </si>
  <si>
    <t>Did the Parent or Student receive federal mean tested benefits in 2022 or 2023?</t>
  </si>
  <si>
    <t>Parent's State</t>
  </si>
  <si>
    <t>Parent's filing status</t>
  </si>
  <si>
    <t>Parent AGI</t>
  </si>
  <si>
    <t>Parent IRA/KEOGH/Other Deductions</t>
  </si>
  <si>
    <t>Parents Tax-Exempt Interest Income</t>
  </si>
  <si>
    <t>Parents Untaxed Portions of IRA Distributions and Pensions (Excluding
 rollovers; if less than zero, put zero)</t>
  </si>
  <si>
    <t>Parents’ Foreign Income Exclusion</t>
  </si>
  <si>
    <t>Parents’ Taxable College Grant and Scholarship Aid</t>
  </si>
  <si>
    <t>Parents’ Education Credits</t>
  </si>
  <si>
    <t>Parents’ Federal Work-study</t>
  </si>
  <si>
    <t>Parents’ U.S. Income Tax Paid</t>
  </si>
  <si>
    <t>Parent 1 wages</t>
  </si>
  <si>
    <t>Parent 1 Schedule C Income</t>
  </si>
  <si>
    <t>Parent 2 wages</t>
  </si>
  <si>
    <t>Parent 2 Schedule C Income</t>
  </si>
  <si>
    <t>Child support</t>
  </si>
  <si>
    <t>Cash, savings, checking accounts, time deposits, and money market funds</t>
  </si>
  <si>
    <t>Net worth of investments</t>
  </si>
  <si>
    <t>Net worth of a business or farm</t>
  </si>
  <si>
    <t>Student filing Status</t>
  </si>
  <si>
    <t>Student AGI</t>
  </si>
  <si>
    <t>Student IRA/KEOGH/Other Deductions</t>
  </si>
  <si>
    <t>Students Tax-Exempt Interest Income</t>
  </si>
  <si>
    <t>Students Untaxed Portions of IRA Distributions and Pensions (Excluding
rollovers; if less than zero, put zero)</t>
  </si>
  <si>
    <t>Students’ Foreign Income Exclusion</t>
  </si>
  <si>
    <t>Students’ Taxable College Grant and Scholarship Aid</t>
  </si>
  <si>
    <t>Students’ Education Credits</t>
  </si>
  <si>
    <t>Students’ Federal Work-study</t>
  </si>
  <si>
    <t>Students’ U.S. Income Tax Paid</t>
  </si>
  <si>
    <t>Student Wages</t>
  </si>
  <si>
    <t>Student Schedule C</t>
  </si>
  <si>
    <t>Spouse Wages</t>
  </si>
  <si>
    <t>Spouse Schedule C</t>
  </si>
  <si>
    <t>Student Family Size</t>
  </si>
  <si>
    <t>Student marital Status</t>
  </si>
  <si>
    <t>Student DOB</t>
  </si>
  <si>
    <t>Did the Student/Spouse file a Schedule A, B, D,E,F, or H?</t>
  </si>
  <si>
    <t>Did the Student/Spouse file a Schedule C?</t>
  </si>
  <si>
    <t>Did the  Student or spouse receive federal mean tested benefits in 2022 or 2023?</t>
  </si>
  <si>
    <t>Student's State</t>
  </si>
  <si>
    <t>SAI</t>
  </si>
  <si>
    <t>Min Pell</t>
  </si>
  <si>
    <t>Max Pell</t>
  </si>
  <si>
    <t>Notes</t>
  </si>
  <si>
    <t>Created By - School ID</t>
  </si>
  <si>
    <t>Net ID - Full Name</t>
  </si>
  <si>
    <t>Number</t>
  </si>
  <si>
    <t>Submitted At</t>
  </si>
  <si>
    <t>Workflow Status</t>
  </si>
  <si>
    <t>0a. Was the student homeless</t>
  </si>
  <si>
    <t>Do unusual circumstances prevent the student from contacting their parents or would contacting their parents pose a risk to the student?</t>
  </si>
  <si>
    <t>1a. Stu Pers Circ - None Apply</t>
  </si>
  <si>
    <t>1b. Stu Marital Status</t>
  </si>
  <si>
    <t>1c. Stu born before 1/1/2001?</t>
  </si>
  <si>
    <t>2a. Parent Family Size</t>
  </si>
  <si>
    <t>2b. Other Parent family size</t>
  </si>
  <si>
    <t>3 Parent 1 DOB</t>
  </si>
  <si>
    <t>4 Parent 2 DOB</t>
  </si>
  <si>
    <t xml:space="preserve">5. Parent 1 file a Schedule A, B, D, E, F, or H </t>
  </si>
  <si>
    <t xml:space="preserve">5. Parent 2 file Schedule A, B, D, E, F, or H </t>
  </si>
  <si>
    <t>6a. Par 1 Net Profit/Loss Schedule C</t>
  </si>
  <si>
    <t>6b. Par 2 Net Profit/Loss Schedule C</t>
  </si>
  <si>
    <t>7. Par Family Benefits - None Apply</t>
  </si>
  <si>
    <t>8a. Parent 1 State</t>
  </si>
  <si>
    <t>9a. Parent 1 filing Status</t>
  </si>
  <si>
    <t>9b. Parent 2 filing Status</t>
  </si>
  <si>
    <t>9c. Did or will the parent file a 2022 joint tax return with their current spouse?</t>
  </si>
  <si>
    <t>10a. Par 1 AGI</t>
  </si>
  <si>
    <t>10b. Par 2 AGI</t>
  </si>
  <si>
    <t>11a. Par 1 IRA Deductions &amp; Payments</t>
  </si>
  <si>
    <t>11b. Par 2 IRA Deductions &amp; Payments</t>
  </si>
  <si>
    <t>12a. Par 1 Tax Exempt Interest</t>
  </si>
  <si>
    <t>12b. Par 2 Tax Exempt Interest</t>
  </si>
  <si>
    <t>13a. Par Untaxed IRAs</t>
  </si>
  <si>
    <t>13b. Par 1 IRA Rollover</t>
  </si>
  <si>
    <t>13c. Par 1 Untaxed Pensions</t>
  </si>
  <si>
    <t>13d. Par 1 Pension Rollover</t>
  </si>
  <si>
    <t>13e. Par 2 Untaxed IRAs</t>
  </si>
  <si>
    <t>13f. Par 2 IRA Rollover</t>
  </si>
  <si>
    <t>13g. Par 2 Untaxed Pension</t>
  </si>
  <si>
    <t>13h. Par 2 Pension Rollover</t>
  </si>
  <si>
    <t>14a. Par 1 Foreign Income Exclusion</t>
  </si>
  <si>
    <t>14b. Par 2 Foreign Income Exclusion</t>
  </si>
  <si>
    <t>16a. Par 1 Education Credits</t>
  </si>
  <si>
    <t>16b. Par 2 Education Credits</t>
  </si>
  <si>
    <t>18a. Par 1 Taxes Paid</t>
  </si>
  <si>
    <t>18b. Par 2 Taxes Paid</t>
  </si>
  <si>
    <t>19 Par 1 Wages</t>
  </si>
  <si>
    <t>20 Par 2 Wages</t>
  </si>
  <si>
    <t>21 Par 1 Child Support Received</t>
  </si>
  <si>
    <t>22 Par Cash, Savings, Checking</t>
  </si>
  <si>
    <t>23 Par Investments &amp; Real Estate</t>
  </si>
  <si>
    <t>24 Business and Farms Net Worth</t>
  </si>
  <si>
    <t>25. Student Tax Filing Status</t>
  </si>
  <si>
    <t>26a. Stu AGI</t>
  </si>
  <si>
    <t>26b. Spouse AGI</t>
  </si>
  <si>
    <t>27a Stu IRA Deductions &amp; Payments</t>
  </si>
  <si>
    <t>27b. Stu Spouse IRA Deductions &amp; Payments</t>
  </si>
  <si>
    <t>28a. Stu Tax Exempt Interest Income</t>
  </si>
  <si>
    <t>28b. Stu Spouse  Tax Exempt Interest</t>
  </si>
  <si>
    <t>29a. Stu Untaxed IRA Distributions</t>
  </si>
  <si>
    <t>29b. Stu IRA Rollover</t>
  </si>
  <si>
    <t>29c. Stu Untaxed Pension</t>
  </si>
  <si>
    <t>29d Student Pension Rollover</t>
  </si>
  <si>
    <t>29e. Stu Spouse Untaxed IRA Distributions</t>
  </si>
  <si>
    <t>29f. Stu Spouse IRA Rollover</t>
  </si>
  <si>
    <t>29g. Stu Spouse Untaxed Pension</t>
  </si>
  <si>
    <t>29h. Stu Spouse Pension Rollover</t>
  </si>
  <si>
    <t>30a Stu Foreign Income Exclusion</t>
  </si>
  <si>
    <t>30b. Stu Spouse Foreign Income Exclusion</t>
  </si>
  <si>
    <t>31a. Stu Taxable Scholarships</t>
  </si>
  <si>
    <t>32a. Stu Education Credits</t>
  </si>
  <si>
    <t>32b. Stu Spouse Education Credits</t>
  </si>
  <si>
    <t>34a. Stu Taxes Paid</t>
  </si>
  <si>
    <t>34b. Stu Spouse Taxes Paid</t>
  </si>
  <si>
    <t>35a. Stu Income Earned From Work</t>
  </si>
  <si>
    <t>36 Stu Net Profit/Loss Schedule C</t>
  </si>
  <si>
    <t>37 Stu Spouse Wages</t>
  </si>
  <si>
    <t>38 Stu Spouse Net Profit/Loss Schedule C</t>
  </si>
  <si>
    <t>39 Stu Child Support Received</t>
  </si>
  <si>
    <t>40 Student Cash, Savings, Checking</t>
  </si>
  <si>
    <t>41 Stu Investments, Real Estate</t>
  </si>
  <si>
    <t>42 Stu Business and Farms net worth</t>
  </si>
  <si>
    <t>43a Student Family Size</t>
  </si>
  <si>
    <t>43b. Other Student Family Size</t>
  </si>
  <si>
    <t>44 Student DOB</t>
  </si>
  <si>
    <t>45a Did the student file a schedule A, B, D, E, F, or H</t>
  </si>
  <si>
    <t>45b. student spouse file a Schedule A, B, D, E, F or H</t>
  </si>
  <si>
    <t>46 Student Federal Benefits - None Apply</t>
  </si>
  <si>
    <t>47 Student State</t>
  </si>
  <si>
    <t>Yes</t>
  </si>
  <si>
    <t>No</t>
  </si>
  <si>
    <t>MA</t>
  </si>
  <si>
    <t>Ochmunkh Otgonbayar</t>
  </si>
  <si>
    <t>0737</t>
  </si>
  <si>
    <t>2024-04-04T13:30:08.899Z</t>
  </si>
  <si>
    <t>Complete</t>
  </si>
  <si>
    <t>None of these apply.</t>
  </si>
  <si>
    <t>Single (never married)</t>
  </si>
  <si>
    <t>Connecticut</t>
  </si>
  <si>
    <t>(13a-13b)+(13c-13d)+(13e-13f)+(13g-13h)</t>
  </si>
  <si>
    <t>15 (Missing)</t>
  </si>
  <si>
    <t>17 (Missing)</t>
  </si>
  <si>
    <t>6b</t>
  </si>
  <si>
    <t>(29a-29b)+(29c-29d)+(29e-29f)+(29g-29h)</t>
  </si>
  <si>
    <t>33 (Skipped)</t>
  </si>
  <si>
    <t>1b</t>
  </si>
  <si>
    <t>36 and 38</t>
  </si>
  <si>
    <t>Dependent</t>
  </si>
  <si>
    <t/>
  </si>
  <si>
    <t>Married filing Jointly</t>
  </si>
  <si>
    <t>Single</t>
  </si>
  <si>
    <t>CT</t>
  </si>
  <si>
    <t>Parent demo info</t>
  </si>
  <si>
    <t>Filing Status</t>
  </si>
  <si>
    <t>Head of Household</t>
  </si>
  <si>
    <t>Married filing Separate</t>
  </si>
  <si>
    <t>Qualifying surviving spouse</t>
  </si>
  <si>
    <t>Not required to file</t>
  </si>
  <si>
    <t>Non US Tax Return</t>
  </si>
  <si>
    <t>Marital Status</t>
  </si>
  <si>
    <t>Married</t>
  </si>
  <si>
    <t>Remarried</t>
  </si>
  <si>
    <t>Separated</t>
  </si>
  <si>
    <t>Divorced</t>
  </si>
  <si>
    <t>Widowed</t>
  </si>
  <si>
    <t>Assets Required (Not looking at max Pell or federal benefits)</t>
  </si>
  <si>
    <t>Did the Parent or Student receive federal mean tested benefits in 2023 or 2024?</t>
  </si>
  <si>
    <t>Exception Applies?</t>
  </si>
  <si>
    <t>Parent's State (Use initials)</t>
  </si>
  <si>
    <t>Independent</t>
  </si>
  <si>
    <t>EFC Formula</t>
  </si>
  <si>
    <t>Max Pell?</t>
  </si>
  <si>
    <t>Min Pell?</t>
  </si>
  <si>
    <t>Assets Required?</t>
  </si>
  <si>
    <t>Student Tax Info</t>
  </si>
  <si>
    <t>Independent Student Demo Info</t>
  </si>
  <si>
    <t>Did the  Student or spouse receive federal mean tested benefits in 2023 or 2024?</t>
  </si>
  <si>
    <t>Student's State (Use Initials)</t>
  </si>
  <si>
    <r>
      <rPr>
        <i/>
        <sz val="14"/>
        <rFont val="Calibri"/>
        <family val="2"/>
      </rPr>
      <t xml:space="preserve">Formula A – Dependent Students
</t>
    </r>
    <r>
      <rPr>
        <sz val="11"/>
        <rFont val="Symbol"/>
        <family val="1"/>
      </rPr>
      <t></t>
    </r>
    <r>
      <rPr>
        <sz val="11"/>
        <rFont val="Times New Roman"/>
        <family val="1"/>
      </rPr>
      <t xml:space="preserve">     </t>
    </r>
    <r>
      <rPr>
        <sz val="11"/>
        <rFont val="Calibri"/>
        <family val="2"/>
      </rPr>
      <t xml:space="preserve">SAI = Parents’ Contribution + Student’s Contribution from Income + Student’s Contribution from
</t>
    </r>
    <r>
      <rPr>
        <sz val="11"/>
        <rFont val="Calibri"/>
        <family val="2"/>
      </rPr>
      <t xml:space="preserve">Assets
</t>
    </r>
    <r>
      <rPr>
        <sz val="11"/>
        <rFont val="Symbol"/>
        <family val="1"/>
      </rPr>
      <t></t>
    </r>
    <r>
      <rPr>
        <sz val="11"/>
        <rFont val="Times New Roman"/>
        <family val="1"/>
      </rPr>
      <t xml:space="preserve">     </t>
    </r>
    <r>
      <rPr>
        <sz val="11"/>
        <rFont val="Calibri"/>
        <family val="2"/>
      </rPr>
      <t xml:space="preserve">Note: SAI can be negative; if negative and less than -1,500 replace value with -1,500
</t>
    </r>
    <r>
      <rPr>
        <sz val="12"/>
        <rFont val="Calibri Light"/>
        <family val="2"/>
      </rPr>
      <t>Parent Contribution from Income</t>
    </r>
  </si>
  <si>
    <r>
      <rPr>
        <sz val="11"/>
        <rFont val="Calibri"/>
        <family val="2"/>
      </rPr>
      <t>Parent Income Additions</t>
    </r>
  </si>
  <si>
    <r>
      <rPr>
        <sz val="11"/>
        <rFont val="Calibri"/>
        <family val="2"/>
      </rPr>
      <t>a.    Parents’ AGI</t>
    </r>
  </si>
  <si>
    <r>
      <rPr>
        <sz val="11"/>
        <rFont val="Calibri"/>
        <family val="2"/>
      </rPr>
      <t>b.    Parents’ Deductible Payments to IRA/KEOGH/Other</t>
    </r>
  </si>
  <si>
    <r>
      <rPr>
        <sz val="11"/>
        <rFont val="Calibri"/>
        <family val="2"/>
      </rPr>
      <t>+</t>
    </r>
  </si>
  <si>
    <r>
      <rPr>
        <sz val="11"/>
        <rFont val="Calibri"/>
        <family val="2"/>
      </rPr>
      <t>c.    Parents’ Tax-Exempt Interest Income</t>
    </r>
  </si>
  <si>
    <t>d.    Parents’ Untaxed Portions of IRA Distributions and Pensions (Excluding
rollovers; if less than zero, put zero)</t>
  </si>
  <si>
    <t>e.   Parents' Untaxed Portions of Pensions (Subtract Pension rollovers; if total is less than zero, enter zero)</t>
  </si>
  <si>
    <t>+</t>
  </si>
  <si>
    <t>f.    Parents’ Foreign Income Exclusion (reported on U.S. Tax Return; if less than
zero, enter the absolute value)</t>
  </si>
  <si>
    <t>1.    Total Parent Income Additions (sum of lines a, b, c, d, e and f)</t>
  </si>
  <si>
    <r>
      <rPr>
        <sz val="11"/>
        <rFont val="Calibri"/>
        <family val="2"/>
      </rPr>
      <t>=</t>
    </r>
  </si>
  <si>
    <r>
      <rPr>
        <sz val="11"/>
        <rFont val="Calibri"/>
        <family val="2"/>
      </rPr>
      <t>Parent Income Offsets</t>
    </r>
  </si>
  <si>
    <t>g.     Parents’ Taxable College Grant and Scholarship Aid (reported as income)</t>
  </si>
  <si>
    <t>h.    Parents’ Education Credits</t>
  </si>
  <si>
    <t>i.    Parents’ Federal Work-study (FWS)</t>
  </si>
  <si>
    <t>2.    Total Parent Income Offsets (sum of lines g, h, and i)</t>
  </si>
  <si>
    <r>
      <rPr>
        <sz val="11"/>
        <rFont val="Calibri"/>
        <family val="2"/>
      </rPr>
      <t xml:space="preserve">3.    Total Parent Income (line 1 minus line 2)
</t>
    </r>
    <r>
      <rPr>
        <sz val="11"/>
        <rFont val="Symbol"/>
        <family val="1"/>
      </rPr>
      <t></t>
    </r>
    <r>
      <rPr>
        <sz val="11"/>
        <rFont val="Times New Roman"/>
        <family val="1"/>
      </rPr>
      <t xml:space="preserve">     </t>
    </r>
    <r>
      <rPr>
        <sz val="11"/>
        <rFont val="Calibri"/>
        <family val="2"/>
      </rPr>
      <t xml:space="preserve">Total Parent Income Additions – Total Parent Income Offsets
</t>
    </r>
    <r>
      <rPr>
        <sz val="11"/>
        <rFont val="Symbol"/>
        <family val="1"/>
      </rPr>
      <t></t>
    </r>
    <r>
      <rPr>
        <sz val="11"/>
        <rFont val="Times New Roman"/>
        <family val="1"/>
      </rPr>
      <t xml:space="preserve">     </t>
    </r>
    <r>
      <rPr>
        <sz val="11"/>
        <rFont val="Calibri"/>
        <family val="2"/>
      </rPr>
      <t>May be a negative number</t>
    </r>
  </si>
  <si>
    <r>
      <rPr>
        <sz val="11"/>
        <rFont val="Calibri"/>
        <family val="2"/>
      </rPr>
      <t>Allowances Against Parents’ Income</t>
    </r>
  </si>
  <si>
    <r>
      <rPr>
        <sz val="11"/>
        <rFont val="Calibri"/>
        <family val="2"/>
      </rPr>
      <t>4.    Parents’ U.S. Income Tax Paid (or Foreign Equivalent)</t>
    </r>
  </si>
  <si>
    <t>Parent 1 Wages</t>
  </si>
  <si>
    <r>
      <rPr>
        <sz val="11"/>
        <rFont val="Calibri"/>
        <family val="2"/>
      </rPr>
      <t>5.    Payroll Tax Allowance (Table A1)</t>
    </r>
  </si>
  <si>
    <t>Parent 2 Wages</t>
  </si>
  <si>
    <t xml:space="preserve">a.    Medicare’s Hospital Insurance (HI) Program Tax Rate (Table A1: Step 1)
</t>
  </si>
  <si>
    <t>b.    Old-age, survivors, &amp; disability insurance (OASDI) Tax Rate (Table A1: Step 2)</t>
  </si>
  <si>
    <r>
      <rPr>
        <sz val="11"/>
        <rFont val="Calibri"/>
        <family val="2"/>
      </rPr>
      <t xml:space="preserve">6.    Income Protection Allowance (Table A2)
</t>
    </r>
    <r>
      <rPr>
        <sz val="11"/>
        <rFont val="Symbol"/>
        <family val="1"/>
      </rPr>
      <t></t>
    </r>
    <r>
      <rPr>
        <sz val="11"/>
        <rFont val="Times New Roman"/>
        <family val="1"/>
      </rPr>
      <t xml:space="preserve">     </t>
    </r>
    <r>
      <rPr>
        <sz val="11"/>
        <rFont val="Calibri"/>
        <family val="2"/>
      </rPr>
      <t>Use the calculated Family Size to determine the IPA</t>
    </r>
  </si>
  <si>
    <t>Family Size</t>
  </si>
  <si>
    <r>
      <rPr>
        <sz val="11"/>
        <rFont val="Calibri"/>
        <family val="2"/>
      </rPr>
      <t xml:space="preserve">7.    Employment Expense Allowance (EEA)
</t>
    </r>
    <r>
      <rPr>
        <sz val="11"/>
        <rFont val="Symbol"/>
        <family val="1"/>
      </rPr>
      <t></t>
    </r>
    <r>
      <rPr>
        <sz val="11"/>
        <rFont val="Times New Roman"/>
        <family val="1"/>
      </rPr>
      <t xml:space="preserve">     </t>
    </r>
    <r>
      <rPr>
        <sz val="11"/>
        <rFont val="Calibri"/>
        <family val="2"/>
      </rPr>
      <t xml:space="preserve">The lesser of:
</t>
    </r>
    <r>
      <rPr>
        <sz val="11"/>
        <rFont val="Courier New"/>
        <family val="3"/>
      </rPr>
      <t xml:space="preserve">o  </t>
    </r>
    <r>
      <rPr>
        <sz val="11"/>
        <rFont val="Calibri"/>
        <family val="2"/>
      </rPr>
      <t xml:space="preserve">35% of parents’ combined earned income, OR
</t>
    </r>
    <r>
      <rPr>
        <sz val="11"/>
        <rFont val="Courier New"/>
        <family val="3"/>
      </rPr>
      <t xml:space="preserve">o  </t>
    </r>
    <r>
      <rPr>
        <sz val="11"/>
        <rFont val="Calibri"/>
        <family val="2"/>
      </rPr>
      <t>$5,000.</t>
    </r>
  </si>
  <si>
    <r>
      <rPr>
        <sz val="11"/>
        <rFont val="Calibri"/>
        <family val="2"/>
      </rPr>
      <t>8.    Total Parent Allowances Against Income (sum lines 4, 5a, 5b, 6, and 7)</t>
    </r>
  </si>
  <si>
    <r>
      <rPr>
        <sz val="11"/>
        <rFont val="Calibri"/>
        <family val="2"/>
      </rPr>
      <t>Parents’ Available Income (PAI)</t>
    </r>
  </si>
  <si>
    <r>
      <rPr>
        <sz val="11"/>
        <rFont val="Calibri"/>
        <family val="2"/>
      </rPr>
      <t>Total Parent Income (line 3)</t>
    </r>
  </si>
  <si>
    <r>
      <rPr>
        <sz val="11"/>
        <rFont val="Calibri"/>
        <family val="2"/>
      </rPr>
      <t>Total Parent Allowances Against Income (line 8)</t>
    </r>
  </si>
  <si>
    <r>
      <rPr>
        <sz val="11"/>
        <rFont val="Calibri"/>
        <family val="2"/>
      </rPr>
      <t>-</t>
    </r>
  </si>
  <si>
    <r>
      <rPr>
        <sz val="11"/>
        <rFont val="Calibri"/>
        <family val="2"/>
      </rPr>
      <t xml:space="preserve">9.    Parent Available Income (line 3 minus line 8)
</t>
    </r>
    <r>
      <rPr>
        <sz val="11"/>
        <rFont val="Symbol"/>
        <family val="1"/>
      </rPr>
      <t></t>
    </r>
    <r>
      <rPr>
        <sz val="11"/>
        <rFont val="Times New Roman"/>
        <family val="1"/>
      </rPr>
      <t xml:space="preserve">     </t>
    </r>
    <r>
      <rPr>
        <sz val="11"/>
        <rFont val="Calibri"/>
        <family val="2"/>
      </rPr>
      <t>May be a negative number</t>
    </r>
  </si>
  <si>
    <r>
      <rPr>
        <sz val="12"/>
        <rFont val="Calibri Light"/>
        <family val="2"/>
      </rPr>
      <t>Parent Contribution from Assets</t>
    </r>
  </si>
  <si>
    <r>
      <rPr>
        <sz val="11"/>
        <rFont val="Calibri"/>
        <family val="2"/>
      </rPr>
      <t>10.  Annual child support received for the last complete calendar year</t>
    </r>
  </si>
  <si>
    <t>11.  Cash, savings, checking accounts</t>
  </si>
  <si>
    <r>
      <rPr>
        <sz val="11"/>
        <rFont val="Calibri"/>
        <family val="2"/>
      </rPr>
      <t xml:space="preserve">12.  Net worth of investments
</t>
    </r>
    <r>
      <rPr>
        <sz val="11"/>
        <rFont val="Symbol"/>
        <family val="1"/>
      </rPr>
      <t></t>
    </r>
    <r>
      <rPr>
        <sz val="11"/>
        <rFont val="Times New Roman"/>
        <family val="1"/>
      </rPr>
      <t xml:space="preserve">     </t>
    </r>
    <r>
      <rPr>
        <sz val="11"/>
        <rFont val="Calibri"/>
        <family val="2"/>
      </rPr>
      <t xml:space="preserve">Includes: time deposits, money market funds, real estate (excluding primary residence), vacation homes, income producing property, trusts, stocks, bonds, derivatives, securities, mutual funds, tax shelters, and qualified education benefits.
</t>
    </r>
    <r>
      <rPr>
        <sz val="11"/>
        <rFont val="Symbol"/>
        <family val="1"/>
      </rPr>
      <t></t>
    </r>
    <r>
      <rPr>
        <sz val="11"/>
        <rFont val="Times New Roman"/>
        <family val="1"/>
      </rPr>
      <t xml:space="preserve">     </t>
    </r>
    <r>
      <rPr>
        <sz val="11"/>
        <rFont val="Calibri"/>
        <family val="2"/>
      </rPr>
      <t>If negative, enter zero</t>
    </r>
  </si>
  <si>
    <r>
      <rPr>
        <sz val="11"/>
        <rFont val="Calibri"/>
        <family val="2"/>
      </rPr>
      <t xml:space="preserve">13.  Adjusted net worth of business and/or farm (Table A3)
</t>
    </r>
    <r>
      <rPr>
        <sz val="11"/>
        <rFont val="Symbol"/>
        <family val="1"/>
      </rPr>
      <t></t>
    </r>
    <r>
      <rPr>
        <sz val="11"/>
        <rFont val="Times New Roman"/>
        <family val="1"/>
      </rPr>
      <t xml:space="preserve">     </t>
    </r>
    <r>
      <rPr>
        <sz val="11"/>
        <rFont val="Calibri"/>
        <family val="2"/>
      </rPr>
      <t>Net worth of business and/or farm multiplied by the applicable adjustment in Table A3.</t>
    </r>
  </si>
  <si>
    <r>
      <rPr>
        <sz val="11"/>
        <rFont val="Calibri"/>
        <family val="2"/>
      </rPr>
      <t>14.  Net worth (sum of lines 10, 11, 12, and 13)</t>
    </r>
  </si>
  <si>
    <r>
      <rPr>
        <sz val="11"/>
        <rFont val="Calibri"/>
        <family val="2"/>
      </rPr>
      <t>15.  Asset Protection Allowance (APA) (Table A4)</t>
    </r>
  </si>
  <si>
    <r>
      <rPr>
        <sz val="11"/>
        <rFont val="Calibri"/>
        <family val="2"/>
      </rPr>
      <t>16.  Asset Conversion Rate (12%)</t>
    </r>
  </si>
  <si>
    <r>
      <rPr>
        <sz val="11"/>
        <rFont val="Calibri"/>
        <family val="2"/>
      </rPr>
      <t>x</t>
    </r>
  </si>
  <si>
    <r>
      <rPr>
        <sz val="11"/>
        <rFont val="Calibri"/>
        <family val="2"/>
      </rPr>
      <t xml:space="preserve">17.  Parent Contribution from Assets (PCA)
</t>
    </r>
    <r>
      <rPr>
        <sz val="11"/>
        <rFont val="Symbol"/>
        <family val="1"/>
      </rPr>
      <t></t>
    </r>
    <r>
      <rPr>
        <sz val="11"/>
        <rFont val="Times New Roman"/>
        <family val="1"/>
      </rPr>
      <t xml:space="preserve">     </t>
    </r>
    <r>
      <rPr>
        <sz val="11"/>
        <rFont val="Calibri"/>
        <family val="2"/>
      </rPr>
      <t xml:space="preserve">(Line 14 minus line 15) times line 16
</t>
    </r>
    <r>
      <rPr>
        <sz val="11"/>
        <rFont val="Symbol"/>
        <family val="1"/>
      </rPr>
      <t></t>
    </r>
    <r>
      <rPr>
        <sz val="11"/>
        <rFont val="Times New Roman"/>
        <family val="1"/>
      </rPr>
      <t xml:space="preserve">     </t>
    </r>
    <r>
      <rPr>
        <sz val="11"/>
        <rFont val="Calibri"/>
        <family val="2"/>
      </rPr>
      <t>If negative, enter zero</t>
    </r>
  </si>
  <si>
    <r>
      <rPr>
        <sz val="12"/>
        <rFont val="Calibri Light"/>
        <family val="2"/>
      </rPr>
      <t>Total Parent Contribution</t>
    </r>
  </si>
  <si>
    <r>
      <rPr>
        <sz val="11"/>
        <rFont val="Calibri"/>
        <family val="2"/>
      </rPr>
      <t>Parent Adjusted Available Income (PAAI)</t>
    </r>
  </si>
  <si>
    <r>
      <rPr>
        <sz val="11"/>
        <rFont val="Calibri"/>
        <family val="2"/>
      </rPr>
      <t>Parents’ Available Income (line 9)</t>
    </r>
  </si>
  <si>
    <r>
      <rPr>
        <sz val="11"/>
        <rFont val="Calibri"/>
        <family val="2"/>
      </rPr>
      <t>Parents’ Contribution from Assets (line 17)</t>
    </r>
  </si>
  <si>
    <r>
      <rPr>
        <sz val="11"/>
        <rFont val="Calibri"/>
        <family val="2"/>
      </rPr>
      <t xml:space="preserve">18.  Parent Adjusted Available Income (PAI plus PCA)
</t>
    </r>
    <r>
      <rPr>
        <sz val="11"/>
        <rFont val="Symbol"/>
        <family val="1"/>
      </rPr>
      <t></t>
    </r>
    <r>
      <rPr>
        <sz val="11"/>
        <rFont val="Times New Roman"/>
        <family val="1"/>
      </rPr>
      <t xml:space="preserve">     </t>
    </r>
    <r>
      <rPr>
        <sz val="11"/>
        <rFont val="Calibri"/>
        <family val="2"/>
      </rPr>
      <t>May be a negative number</t>
    </r>
  </si>
  <si>
    <r>
      <rPr>
        <sz val="11"/>
        <rFont val="Calibri"/>
        <family val="2"/>
      </rPr>
      <t>Parents’ Contribution (PC)</t>
    </r>
  </si>
  <si>
    <r>
      <rPr>
        <sz val="11"/>
        <rFont val="Calibri"/>
        <family val="2"/>
      </rPr>
      <t xml:space="preserve">19.  Parents’ Contribution (Table A5)
</t>
    </r>
    <r>
      <rPr>
        <sz val="11"/>
        <rFont val="Symbol"/>
        <family val="1"/>
      </rPr>
      <t></t>
    </r>
    <r>
      <rPr>
        <sz val="11"/>
        <rFont val="Times New Roman"/>
        <family val="1"/>
      </rPr>
      <t xml:space="preserve">     </t>
    </r>
    <r>
      <rPr>
        <sz val="11"/>
        <rFont val="Calibri"/>
        <family val="2"/>
      </rPr>
      <t>Adjust PAAI (line 18) using Table A5.</t>
    </r>
  </si>
  <si>
    <r>
      <rPr>
        <sz val="12"/>
        <rFont val="Calibri Light"/>
        <family val="2"/>
      </rPr>
      <t>Student Contribution from Income</t>
    </r>
  </si>
  <si>
    <r>
      <rPr>
        <sz val="11"/>
        <rFont val="Calibri"/>
        <family val="2"/>
      </rPr>
      <t>Student Income Additions</t>
    </r>
  </si>
  <si>
    <r>
      <rPr>
        <sz val="11"/>
        <rFont val="Calibri"/>
        <family val="2"/>
      </rPr>
      <t>a.    Student AGI</t>
    </r>
  </si>
  <si>
    <r>
      <rPr>
        <sz val="11"/>
        <rFont val="Calibri"/>
        <family val="2"/>
      </rPr>
      <t>b.    Student Deductible Payments to IRA/KEOGH/Other</t>
    </r>
  </si>
  <si>
    <r>
      <rPr>
        <sz val="11"/>
        <rFont val="Calibri"/>
        <family val="2"/>
      </rPr>
      <t>c.    Student Exempt Interest Income</t>
    </r>
  </si>
  <si>
    <r>
      <rPr>
        <sz val="11"/>
        <rFont val="Calibri"/>
        <family val="2"/>
      </rPr>
      <t xml:space="preserve">d.    Student Untaxed Portions of IRA Distributions and Pensions (Excluding
</t>
    </r>
    <r>
      <rPr>
        <sz val="11"/>
        <rFont val="Calibri"/>
        <family val="2"/>
      </rPr>
      <t>rollovers; if less than zero, put zero)</t>
    </r>
  </si>
  <si>
    <t>e.    Student Untaxed Portions of Pensions( subtract pension rollover; if total is less than zero, enter zero)</t>
  </si>
  <si>
    <t>f.    Student Foreign Income Exclusion (reported on U.S. Tax Return; if less than
zero, put zero)</t>
  </si>
  <si>
    <t>20.  Total Student Income Additions (sum of lines a, b, c, d, e and f)</t>
  </si>
  <si>
    <r>
      <rPr>
        <sz val="11"/>
        <rFont val="Calibri"/>
        <family val="2"/>
      </rPr>
      <t>Student Income Offsets</t>
    </r>
  </si>
  <si>
    <t>g.     Student College Grant and Scholarship Aid (reported as income)</t>
  </si>
  <si>
    <t>h.    Student Education Credits</t>
  </si>
  <si>
    <t>i.    Student Federal Work-study (FWS)</t>
  </si>
  <si>
    <t>21.  Total Student Income Offsets (sum lines g, h, and i)</t>
  </si>
  <si>
    <r>
      <rPr>
        <sz val="11"/>
        <rFont val="Calibri"/>
        <family val="2"/>
      </rPr>
      <t xml:space="preserve">22.  Total Student Income (line 20 minus line 21)
</t>
    </r>
    <r>
      <rPr>
        <sz val="11"/>
        <rFont val="Symbol"/>
        <family val="1"/>
      </rPr>
      <t></t>
    </r>
    <r>
      <rPr>
        <sz val="11"/>
        <rFont val="Times New Roman"/>
        <family val="1"/>
      </rPr>
      <t xml:space="preserve">     </t>
    </r>
    <r>
      <rPr>
        <sz val="11"/>
        <rFont val="Calibri"/>
        <family val="2"/>
      </rPr>
      <t xml:space="preserve">Total Student Income Additions – Total Student Income Offsets
</t>
    </r>
    <r>
      <rPr>
        <sz val="11"/>
        <rFont val="Symbol"/>
        <family val="1"/>
      </rPr>
      <t></t>
    </r>
    <r>
      <rPr>
        <sz val="11"/>
        <rFont val="Times New Roman"/>
        <family val="1"/>
      </rPr>
      <t xml:space="preserve">     </t>
    </r>
    <r>
      <rPr>
        <sz val="11"/>
        <rFont val="Calibri"/>
        <family val="2"/>
      </rPr>
      <t>May be a negative number</t>
    </r>
  </si>
  <si>
    <r>
      <rPr>
        <sz val="11"/>
        <rFont val="Calibri"/>
        <family val="2"/>
      </rPr>
      <t>Allowances Against Student Income</t>
    </r>
  </si>
  <si>
    <r>
      <rPr>
        <sz val="11"/>
        <rFont val="Calibri"/>
        <family val="2"/>
      </rPr>
      <t>23.  Student U.S. Income Tax Paid or Foreign Equivalent</t>
    </r>
  </si>
  <si>
    <r>
      <rPr>
        <sz val="11"/>
        <rFont val="Calibri"/>
        <family val="2"/>
      </rPr>
      <t>24.  Payroll Tax Allowance (Table A1)</t>
    </r>
  </si>
  <si>
    <t>a.    Medicare’s Hospital Insurance (HI) Program Tax Rate (Table A1: Step 1)</t>
  </si>
  <si>
    <r>
      <rPr>
        <sz val="11"/>
        <rFont val="Calibri"/>
        <family val="2"/>
      </rPr>
      <t>25.  Income Protection Allowance</t>
    </r>
  </si>
  <si>
    <r>
      <rPr>
        <sz val="11"/>
        <rFont val="Calibri"/>
        <family val="2"/>
      </rPr>
      <t xml:space="preserve">26.  Allowance for parents’ negative adjusted available income
</t>
    </r>
    <r>
      <rPr>
        <sz val="11"/>
        <rFont val="Calibri"/>
        <family val="2"/>
      </rPr>
      <t xml:space="preserve">a.    If line 18 is negative, enter line 18 as a positive number.
</t>
    </r>
    <r>
      <rPr>
        <sz val="11"/>
        <rFont val="Calibri"/>
        <family val="2"/>
      </rPr>
      <t>b.    If line 18 is zero or positive, enter zero.</t>
    </r>
  </si>
  <si>
    <r>
      <rPr>
        <sz val="11"/>
        <rFont val="Calibri"/>
        <family val="2"/>
      </rPr>
      <t>27.  Total Student Allowances Against Income (sum lines 23, 24a, 24b, 25, and 26)</t>
    </r>
  </si>
  <si>
    <r>
      <rPr>
        <sz val="11"/>
        <rFont val="Calibri"/>
        <family val="2"/>
      </rPr>
      <t>Student’s Contribution from Income</t>
    </r>
  </si>
  <si>
    <r>
      <rPr>
        <sz val="11"/>
        <rFont val="Calibri"/>
        <family val="2"/>
      </rPr>
      <t>Total Student Income (line 22)</t>
    </r>
  </si>
  <si>
    <r>
      <rPr>
        <sz val="11"/>
        <rFont val="Calibri"/>
        <family val="2"/>
      </rPr>
      <t>Total Student Allowances Against Income (line 27)</t>
    </r>
  </si>
  <si>
    <r>
      <rPr>
        <sz val="11"/>
        <rFont val="Calibri"/>
        <family val="2"/>
      </rPr>
      <t xml:space="preserve">28.  Student Available Income (line 22 minus line 27)
</t>
    </r>
    <r>
      <rPr>
        <sz val="11"/>
        <rFont val="Symbol"/>
        <family val="1"/>
      </rPr>
      <t></t>
    </r>
    <r>
      <rPr>
        <sz val="11"/>
        <rFont val="Times New Roman"/>
        <family val="1"/>
      </rPr>
      <t xml:space="preserve">     </t>
    </r>
    <r>
      <rPr>
        <sz val="11"/>
        <rFont val="Calibri"/>
        <family val="2"/>
      </rPr>
      <t>May be a negative number</t>
    </r>
  </si>
  <si>
    <r>
      <rPr>
        <sz val="11"/>
        <rFont val="Calibri"/>
        <family val="2"/>
      </rPr>
      <t>29.  Assessment of Student Available Income (50%)</t>
    </r>
  </si>
  <si>
    <t xml:space="preserve">30.  Student’s Contribution from Income (line 28 times line 29) • If negative (-) set to 0 (zero) </t>
  </si>
  <si>
    <r>
      <rPr>
        <sz val="12"/>
        <rFont val="Calibri Light"/>
        <family val="2"/>
      </rPr>
      <t>Student Contribution from Assets</t>
    </r>
  </si>
  <si>
    <t>31.  Cash, savings, checking accounts</t>
  </si>
  <si>
    <r>
      <rPr>
        <sz val="11"/>
        <rFont val="Calibri"/>
        <family val="2"/>
      </rPr>
      <t xml:space="preserve">32.  Net worth of investments
</t>
    </r>
    <r>
      <rPr>
        <sz val="11"/>
        <rFont val="Symbol"/>
        <family val="1"/>
      </rPr>
      <t></t>
    </r>
    <r>
      <rPr>
        <sz val="11"/>
        <rFont val="Times New Roman"/>
        <family val="1"/>
      </rPr>
      <t xml:space="preserve">     </t>
    </r>
    <r>
      <rPr>
        <sz val="11"/>
        <rFont val="Calibri"/>
        <family val="2"/>
      </rPr>
      <t xml:space="preserve">Includes: time deposits, and money market funds, real estate (excluding primary residence), vacation homes, income producing property, trusts, stocks, bonds, derivatives, securities, mutual funds, tax shelters, and qualified education benefits.
</t>
    </r>
    <r>
      <rPr>
        <sz val="11"/>
        <rFont val="Symbol"/>
        <family val="1"/>
      </rPr>
      <t></t>
    </r>
    <r>
      <rPr>
        <sz val="11"/>
        <rFont val="Times New Roman"/>
        <family val="1"/>
      </rPr>
      <t xml:space="preserve">     </t>
    </r>
    <r>
      <rPr>
        <sz val="11"/>
        <rFont val="Calibri"/>
        <family val="2"/>
      </rPr>
      <t>If negative, enter zero</t>
    </r>
  </si>
  <si>
    <r>
      <rPr>
        <sz val="11"/>
        <rFont val="Calibri"/>
        <family val="2"/>
      </rPr>
      <t xml:space="preserve">33.  Adjusted net worth of business and/or farm (Table A3)
</t>
    </r>
    <r>
      <rPr>
        <sz val="11"/>
        <rFont val="Symbol"/>
        <family val="1"/>
      </rPr>
      <t></t>
    </r>
    <r>
      <rPr>
        <sz val="11"/>
        <rFont val="Times New Roman"/>
        <family val="1"/>
      </rPr>
      <t xml:space="preserve">     </t>
    </r>
    <r>
      <rPr>
        <sz val="11"/>
        <rFont val="Calibri"/>
        <family val="2"/>
      </rPr>
      <t>Net worth of business and/or farm multiplied by the applicable adjustment in Table A3.</t>
    </r>
  </si>
  <si>
    <r>
      <rPr>
        <sz val="11"/>
        <rFont val="Calibri"/>
        <family val="2"/>
      </rPr>
      <t>34.  Net worth (sum of lines 31, 32, and 33)</t>
    </r>
  </si>
  <si>
    <r>
      <rPr>
        <sz val="11"/>
        <rFont val="Calibri"/>
        <family val="2"/>
      </rPr>
      <t>35.  Asset Conversion Rate (20%)</t>
    </r>
  </si>
  <si>
    <r>
      <rPr>
        <sz val="11"/>
        <rFont val="Calibri"/>
        <family val="2"/>
      </rPr>
      <t xml:space="preserve">36.  Student Contribution from Assets (SCA)
</t>
    </r>
    <r>
      <rPr>
        <sz val="11"/>
        <rFont val="Symbol"/>
        <family val="1"/>
      </rPr>
      <t></t>
    </r>
    <r>
      <rPr>
        <sz val="11"/>
        <rFont val="Times New Roman"/>
        <family val="1"/>
      </rPr>
      <t xml:space="preserve">     </t>
    </r>
    <r>
      <rPr>
        <sz val="11"/>
        <rFont val="Calibri"/>
        <family val="2"/>
      </rPr>
      <t xml:space="preserve">Line 34 times line 35
</t>
    </r>
    <r>
      <rPr>
        <sz val="11"/>
        <rFont val="Symbol"/>
        <family val="1"/>
      </rPr>
      <t></t>
    </r>
    <r>
      <rPr>
        <sz val="11"/>
        <rFont val="Times New Roman"/>
        <family val="1"/>
      </rPr>
      <t xml:space="preserve">     </t>
    </r>
    <r>
      <rPr>
        <sz val="11"/>
        <rFont val="Calibri"/>
        <family val="2"/>
      </rPr>
      <t>If negative, enter zero</t>
    </r>
  </si>
  <si>
    <r>
      <rPr>
        <sz val="12"/>
        <rFont val="Calibri Light"/>
        <family val="2"/>
      </rPr>
      <t>Student Aid Index (SAI)</t>
    </r>
  </si>
  <si>
    <r>
      <rPr>
        <sz val="11"/>
        <rFont val="Calibri"/>
        <family val="2"/>
      </rPr>
      <t>Parents’ Contribution (line 19)</t>
    </r>
  </si>
  <si>
    <r>
      <rPr>
        <sz val="11"/>
        <rFont val="Calibri"/>
        <family val="2"/>
      </rPr>
      <t>Student’s Contribution from Income (line 30)</t>
    </r>
  </si>
  <si>
    <r>
      <rPr>
        <sz val="11"/>
        <rFont val="Calibri"/>
        <family val="2"/>
      </rPr>
      <t>Student’s Contribution from Assets (line 36)</t>
    </r>
  </si>
  <si>
    <r>
      <rPr>
        <sz val="11"/>
        <rFont val="Calibri"/>
        <family val="2"/>
      </rPr>
      <t xml:space="preserve">37.  Student Aid Index (sum of lines 19, 30, and 36)
</t>
    </r>
    <r>
      <rPr>
        <sz val="11"/>
        <rFont val="Symbol"/>
        <family val="1"/>
      </rPr>
      <t></t>
    </r>
    <r>
      <rPr>
        <sz val="11"/>
        <rFont val="Times New Roman"/>
        <family val="1"/>
      </rPr>
      <t xml:space="preserve">     </t>
    </r>
    <r>
      <rPr>
        <sz val="11"/>
        <rFont val="Calibri"/>
        <family val="2"/>
      </rPr>
      <t xml:space="preserve">If negative and &lt; -1,500, adjust to -1,500 (e.g., if -2,000 set to -1,500)
</t>
    </r>
    <r>
      <rPr>
        <sz val="11"/>
        <rFont val="Symbol"/>
        <family val="1"/>
      </rPr>
      <t></t>
    </r>
    <r>
      <rPr>
        <sz val="11"/>
        <rFont val="Times New Roman"/>
        <family val="1"/>
      </rPr>
      <t xml:space="preserve">     </t>
    </r>
    <r>
      <rPr>
        <sz val="11"/>
        <rFont val="Calibri"/>
        <family val="2"/>
      </rPr>
      <t>If negative and &gt;= -1,500, do not adjust (e.g., if -1,000 leave as -1,000)</t>
    </r>
  </si>
  <si>
    <r>
      <rPr>
        <i/>
        <sz val="14"/>
        <rFont val="Calibri"/>
        <family val="2"/>
      </rPr>
      <t xml:space="preserve">Supplementary Tables for Formula A – Dependent Students
</t>
    </r>
    <r>
      <rPr>
        <sz val="12"/>
        <rFont val="Calibri Light"/>
        <family val="2"/>
      </rPr>
      <t>Table A1. Payroll Tax Allowance</t>
    </r>
  </si>
  <si>
    <r>
      <rPr>
        <b/>
        <sz val="11"/>
        <rFont val="Calibri"/>
        <family val="2"/>
      </rPr>
      <t>Tax Rate Program</t>
    </r>
  </si>
  <si>
    <r>
      <rPr>
        <b/>
        <sz val="11"/>
        <rFont val="Calibri"/>
        <family val="2"/>
      </rPr>
      <t>Tax Rate</t>
    </r>
  </si>
  <si>
    <r>
      <rPr>
        <sz val="11"/>
        <rFont val="Calibri"/>
        <family val="2"/>
      </rPr>
      <t>Step 1: Medicare’s Hospital Insurance (HI) Program Tax Rate</t>
    </r>
  </si>
  <si>
    <r>
      <rPr>
        <sz val="11"/>
        <rFont val="Calibri"/>
        <family val="2"/>
      </rPr>
      <t xml:space="preserve">If Parent filed as Not Married (e.g., single, head of household, or qualifying widow(er)):
</t>
    </r>
    <r>
      <rPr>
        <sz val="11"/>
        <rFont val="Symbol"/>
        <family val="1"/>
      </rPr>
      <t></t>
    </r>
    <r>
      <rPr>
        <sz val="11"/>
        <rFont val="Times New Roman"/>
        <family val="1"/>
      </rPr>
      <t xml:space="preserve">     </t>
    </r>
    <r>
      <rPr>
        <sz val="11"/>
        <rFont val="Calibri"/>
        <family val="2"/>
      </rPr>
      <t xml:space="preserve">1.45% of parent earned income up to $200,000, (+) plus
</t>
    </r>
    <r>
      <rPr>
        <sz val="11"/>
        <rFont val="Symbol"/>
        <family val="1"/>
      </rPr>
      <t></t>
    </r>
    <r>
      <rPr>
        <sz val="11"/>
        <rFont val="Times New Roman"/>
        <family val="1"/>
      </rPr>
      <t xml:space="preserve">     </t>
    </r>
    <r>
      <rPr>
        <sz val="11"/>
        <rFont val="Calibri"/>
        <family val="2"/>
      </rPr>
      <t xml:space="preserve">2.35% of parent earned income over $200,000 If Parent filed as Married-Filed Joint Return (MFJ):
</t>
    </r>
    <r>
      <rPr>
        <sz val="11"/>
        <rFont val="Symbol"/>
        <family val="1"/>
      </rPr>
      <t></t>
    </r>
    <r>
      <rPr>
        <sz val="11"/>
        <rFont val="Times New Roman"/>
        <family val="1"/>
      </rPr>
      <t xml:space="preserve">     </t>
    </r>
    <r>
      <rPr>
        <sz val="11"/>
        <rFont val="Calibri"/>
        <family val="2"/>
      </rPr>
      <t xml:space="preserve">1.45% of parents’ combined earned income up to $250,000, (+) plus
</t>
    </r>
    <r>
      <rPr>
        <sz val="11"/>
        <rFont val="Symbol"/>
        <family val="1"/>
      </rPr>
      <t></t>
    </r>
    <r>
      <rPr>
        <sz val="11"/>
        <rFont val="Times New Roman"/>
        <family val="1"/>
      </rPr>
      <t xml:space="preserve">     </t>
    </r>
    <r>
      <rPr>
        <sz val="11"/>
        <rFont val="Calibri"/>
        <family val="2"/>
      </rPr>
      <t xml:space="preserve">2.35% of parents’ combined earned income </t>
    </r>
    <r>
      <rPr>
        <b/>
        <sz val="11"/>
        <rFont val="Calibri"/>
        <family val="2"/>
      </rPr>
      <t xml:space="preserve">over </t>
    </r>
    <r>
      <rPr>
        <sz val="11"/>
        <rFont val="Calibri"/>
        <family val="2"/>
      </rPr>
      <t xml:space="preserve">$250,000 If Parent filed as Married-Filed Separate Return (MFS):
</t>
    </r>
    <r>
      <rPr>
        <sz val="11"/>
        <rFont val="Symbol"/>
        <family val="1"/>
      </rPr>
      <t></t>
    </r>
    <r>
      <rPr>
        <sz val="11"/>
        <rFont val="Times New Roman"/>
        <family val="1"/>
      </rPr>
      <t xml:space="preserve">     </t>
    </r>
    <r>
      <rPr>
        <sz val="11"/>
        <rFont val="Calibri"/>
        <family val="2"/>
      </rPr>
      <t xml:space="preserve">1.45% of parent earned income up to $125,000, (+) plus
</t>
    </r>
    <r>
      <rPr>
        <sz val="11"/>
        <rFont val="Symbol"/>
        <family val="1"/>
      </rPr>
      <t></t>
    </r>
    <r>
      <rPr>
        <sz val="11"/>
        <rFont val="Times New Roman"/>
        <family val="1"/>
      </rPr>
      <t xml:space="preserve">     </t>
    </r>
    <r>
      <rPr>
        <sz val="11"/>
        <rFont val="Calibri"/>
        <family val="2"/>
      </rPr>
      <t xml:space="preserve">1.45% of parent spouse’s earned income up to $125,000, (+) plus
</t>
    </r>
    <r>
      <rPr>
        <sz val="11"/>
        <rFont val="Symbol"/>
        <family val="1"/>
      </rPr>
      <t></t>
    </r>
    <r>
      <rPr>
        <sz val="11"/>
        <rFont val="Times New Roman"/>
        <family val="1"/>
      </rPr>
      <t xml:space="preserve">     </t>
    </r>
    <r>
      <rPr>
        <sz val="11"/>
        <rFont val="Calibri"/>
        <family val="2"/>
      </rPr>
      <t xml:space="preserve">2.35% of parent earned income </t>
    </r>
    <r>
      <rPr>
        <b/>
        <sz val="11"/>
        <rFont val="Calibri"/>
        <family val="2"/>
      </rPr>
      <t xml:space="preserve">over </t>
    </r>
    <r>
      <rPr>
        <sz val="11"/>
        <rFont val="Calibri"/>
        <family val="2"/>
      </rPr>
      <t xml:space="preserve">$125,000 (+) plus
</t>
    </r>
    <r>
      <rPr>
        <sz val="11"/>
        <rFont val="Symbol"/>
        <family val="1"/>
      </rPr>
      <t></t>
    </r>
    <r>
      <rPr>
        <sz val="11"/>
        <rFont val="Times New Roman"/>
        <family val="1"/>
      </rPr>
      <t xml:space="preserve">     </t>
    </r>
    <r>
      <rPr>
        <sz val="11"/>
        <rFont val="Calibri"/>
        <family val="2"/>
      </rPr>
      <t xml:space="preserve">2.35% of parent spouse’s earned income </t>
    </r>
    <r>
      <rPr>
        <b/>
        <sz val="11"/>
        <rFont val="Calibri"/>
        <family val="2"/>
      </rPr>
      <t xml:space="preserve">over </t>
    </r>
    <r>
      <rPr>
        <sz val="11"/>
        <rFont val="Calibri"/>
        <family val="2"/>
      </rPr>
      <t xml:space="preserve">$125,000 If Dependent Student:
</t>
    </r>
    <r>
      <rPr>
        <sz val="11"/>
        <rFont val="Symbol"/>
        <family val="1"/>
      </rPr>
      <t></t>
    </r>
    <r>
      <rPr>
        <sz val="11"/>
        <rFont val="Times New Roman"/>
        <family val="1"/>
      </rPr>
      <t xml:space="preserve">     </t>
    </r>
    <r>
      <rPr>
        <sz val="11"/>
        <rFont val="Calibri"/>
        <family val="2"/>
      </rPr>
      <t xml:space="preserve">1.45% of dependent student earned income up to $200,000, (+) plus
</t>
    </r>
    <r>
      <rPr>
        <sz val="11"/>
        <rFont val="Symbol"/>
        <family val="1"/>
      </rPr>
      <t></t>
    </r>
    <r>
      <rPr>
        <sz val="11"/>
        <rFont val="Times New Roman"/>
        <family val="1"/>
      </rPr>
      <t xml:space="preserve">     </t>
    </r>
    <r>
      <rPr>
        <sz val="11"/>
        <rFont val="Calibri"/>
        <family val="2"/>
      </rPr>
      <t>2.35% of dependent student earned income over $200,000.</t>
    </r>
  </si>
  <si>
    <r>
      <rPr>
        <sz val="11"/>
        <rFont val="Calibri"/>
        <family val="2"/>
      </rPr>
      <t>Step 2: Old-age, survivors, and disability insurance (OASDI) Tax Rate</t>
    </r>
  </si>
  <si>
    <r>
      <rPr>
        <sz val="11"/>
        <rFont val="Calibri"/>
        <family val="2"/>
      </rPr>
      <t xml:space="preserve">If Parent:
</t>
    </r>
    <r>
      <rPr>
        <sz val="11"/>
        <rFont val="Symbol"/>
        <family val="1"/>
      </rPr>
      <t></t>
    </r>
    <r>
      <rPr>
        <sz val="11"/>
        <rFont val="Times New Roman"/>
        <family val="1"/>
      </rPr>
      <t xml:space="preserve">     </t>
    </r>
    <r>
      <rPr>
        <sz val="11"/>
        <rFont val="Calibri"/>
        <family val="2"/>
      </rPr>
      <t xml:space="preserve">For those reporting a single parental income, 6.2% of parent’s total earned income up to Contributions and Benefit Base of $168,600 for Tax Year 2024. If parent’s total earned income exceeds $168,600, then input $10,453*.
</t>
    </r>
    <r>
      <rPr>
        <sz val="11"/>
        <rFont val="Symbol"/>
        <family val="1"/>
      </rPr>
      <t></t>
    </r>
    <r>
      <rPr>
        <sz val="11"/>
        <rFont val="Times New Roman"/>
        <family val="1"/>
      </rPr>
      <t xml:space="preserve">     </t>
    </r>
    <r>
      <rPr>
        <sz val="11"/>
        <rFont val="Calibri"/>
        <family val="2"/>
      </rPr>
      <t xml:space="preserve">For those reporting two parental incomes or whose parents filed a joint return, 6.2% of parents total earned income up to Contributions and Benefit Base of $337,200 for Tax Year 2024. If parents’ total earned income exceeds $337,200, then input $24,837*.
If Dependent Student:
</t>
    </r>
    <r>
      <rPr>
        <sz val="11"/>
        <rFont val="Symbol"/>
        <family val="1"/>
      </rPr>
      <t></t>
    </r>
    <r>
      <rPr>
        <sz val="11"/>
        <rFont val="Times New Roman"/>
        <family val="1"/>
      </rPr>
      <t xml:space="preserve">     </t>
    </r>
    <r>
      <rPr>
        <sz val="11"/>
        <rFont val="Calibri"/>
        <family val="2"/>
      </rPr>
      <t>6.2% of student’s total earned income up to Contributions and
Benefit Base of $168,600 for Tax Year 2024. If the student’s total
earned income exceeds $168,600, then input $10,453*.</t>
    </r>
  </si>
  <si>
    <r>
      <rPr>
        <sz val="11"/>
        <rFont val="Calibri"/>
        <family val="2"/>
      </rPr>
      <t xml:space="preserve">*Social Security's Old-Age, Survivors, and Disability Insurance (OASDI) program limits the amount of earnings subject to taxation for a given year. The same annual limit also applies when those earnings are used in a benefit computation. This limit changes each year with changes in the national average wage index. For earnings in 2024, this base is $168,600.
The OASDI tax rate for wages paid in 2024 is set by statute at 6.2 percent for employees and employers, each. Thus, an individual with wages equal to or larger than $168,600 would contribute $10,453 to the OASDI program in 2024.
For more information visit: </t>
    </r>
    <r>
      <rPr>
        <u/>
        <sz val="11"/>
        <color rgb="FF0462C1"/>
        <rFont val="Calibri"/>
        <family val="2"/>
      </rPr>
      <t>https://www.ssa.gov/oact/cola/cbb.html</t>
    </r>
  </si>
  <si>
    <t>Parent Step 1: Medicare’s Hospital Insurance (HI) Program Tax Rate</t>
  </si>
  <si>
    <t>Allowance</t>
  </si>
  <si>
    <t>Dependent Student</t>
  </si>
  <si>
    <t>Step 1</t>
  </si>
  <si>
    <t>Parent 1 filing Status</t>
  </si>
  <si>
    <t>Step 2</t>
  </si>
  <si>
    <t>Total income from work</t>
  </si>
  <si>
    <t>Not married income limit</t>
  </si>
  <si>
    <t>Married income limit</t>
  </si>
  <si>
    <t>Married filing separate income limit</t>
  </si>
  <si>
    <t>Mediare allowance (Step 1)</t>
  </si>
  <si>
    <t>Parent Step 2: Old-age, survivors, and disability insurance (OASDI) Tax Rate</t>
  </si>
  <si>
    <t>Allowance Rate</t>
  </si>
  <si>
    <t>Single Parent Max income</t>
  </si>
  <si>
    <t>Single Parent max allowance</t>
  </si>
  <si>
    <t>Two Parent Max income</t>
  </si>
  <si>
    <t>Two parent max allowance</t>
  </si>
  <si>
    <t>Step 2 Allowance</t>
  </si>
  <si>
    <t>Student Step 1</t>
  </si>
  <si>
    <t>Income limit</t>
  </si>
  <si>
    <t>Student Step 2</t>
  </si>
  <si>
    <t>Max income</t>
  </si>
  <si>
    <t>Max Allowance</t>
  </si>
  <si>
    <r>
      <rPr>
        <sz val="12"/>
        <rFont val="Calibri Light"/>
        <family val="2"/>
      </rPr>
      <t>Table A2. Income Protection Allowance</t>
    </r>
  </si>
  <si>
    <t>A2 Adjusted</t>
  </si>
  <si>
    <t>A3 Adjusted</t>
  </si>
  <si>
    <r>
      <rPr>
        <b/>
        <sz val="11"/>
        <rFont val="Calibri"/>
        <family val="2"/>
      </rPr>
      <t>Family Size (including student)</t>
    </r>
  </si>
  <si>
    <r>
      <rPr>
        <b/>
        <sz val="11"/>
        <rFont val="Calibri"/>
        <family val="2"/>
      </rPr>
      <t>Income Protection Allowance Amount</t>
    </r>
  </si>
  <si>
    <t>Net Worth of Business</t>
  </si>
  <si>
    <t>Percentage</t>
  </si>
  <si>
    <t>Amount Over</t>
  </si>
  <si>
    <t>Addition</t>
  </si>
  <si>
    <t>Parent Business/Farm net Worth</t>
  </si>
  <si>
    <t>Parent Business/Farm adjusted net worth</t>
  </si>
  <si>
    <t>Student Business/Farm net Worth</t>
  </si>
  <si>
    <t>Student Business/Farm adjusted net worth</t>
  </si>
  <si>
    <r>
      <rPr>
        <sz val="11"/>
        <rFont val="Calibri"/>
        <family val="2"/>
      </rPr>
      <t>Note: For each additional household member, add $</t>
    </r>
    <r>
      <rPr>
        <sz val="11"/>
        <color rgb="FFFF0000"/>
        <rFont val="Calibri"/>
        <family val="2"/>
      </rPr>
      <t>6,990.</t>
    </r>
    <r>
      <rPr>
        <sz val="11"/>
        <rFont val="Calibri"/>
        <family val="2"/>
      </rPr>
      <t xml:space="preserve">
</t>
    </r>
    <r>
      <rPr>
        <sz val="12"/>
        <rFont val="Calibri Light"/>
        <family val="2"/>
      </rPr>
      <t>Table A3. Business/Farm Net Worth Adjustment</t>
    </r>
  </si>
  <si>
    <r>
      <rPr>
        <b/>
        <sz val="11"/>
        <rFont val="Calibri"/>
        <family val="2"/>
      </rPr>
      <t xml:space="preserve">If the net worth of a business or farm is </t>
    </r>
    <r>
      <rPr>
        <b/>
        <u/>
        <sz val="11"/>
        <rFont val="Calibri"/>
        <family val="2"/>
      </rPr>
      <t>        </t>
    </r>
  </si>
  <si>
    <r>
      <rPr>
        <b/>
        <sz val="11"/>
        <rFont val="Calibri"/>
        <family val="2"/>
      </rPr>
      <t xml:space="preserve">Then the adjusted net worth is </t>
    </r>
    <r>
      <rPr>
        <b/>
        <u/>
        <sz val="11"/>
        <rFont val="Calibri"/>
        <family val="2"/>
      </rPr>
      <t>          </t>
    </r>
  </si>
  <si>
    <r>
      <rPr>
        <sz val="11"/>
        <rFont val="Calibri"/>
        <family val="2"/>
      </rPr>
      <t>Less than $1</t>
    </r>
  </si>
  <si>
    <t>$1 to $175,000</t>
  </si>
  <si>
    <r>
      <rPr>
        <sz val="11"/>
        <rFont val="Calibri"/>
        <family val="2"/>
      </rPr>
      <t>40% of net worth of business/farm</t>
    </r>
  </si>
  <si>
    <t>$175,001 to $520,000</t>
  </si>
  <si>
    <t xml:space="preserve">$70,000 + 50% of net worth over $175,000 </t>
  </si>
  <si>
    <t>$520,001 to $850,000</t>
  </si>
  <si>
    <t xml:space="preserve">$242,500 + 60% of net worth over $520,000 </t>
  </si>
  <si>
    <t>$870,001 or more</t>
  </si>
  <si>
    <t xml:space="preserve">$452,500 + 100% of net worth over $870,000 </t>
  </si>
  <si>
    <r>
      <rPr>
        <sz val="12"/>
        <rFont val="Calibri Light"/>
        <family val="2"/>
      </rPr>
      <t>Table A4: Asset Protection Allowance (Parents Only)</t>
    </r>
  </si>
  <si>
    <t>Age of older parent as of 12/31/2025*</t>
  </si>
  <si>
    <r>
      <rPr>
        <b/>
        <sz val="11"/>
        <rFont val="Calibri"/>
        <family val="2"/>
      </rPr>
      <t>Allowance if there are two parents**</t>
    </r>
  </si>
  <si>
    <r>
      <rPr>
        <b/>
        <sz val="11"/>
        <rFont val="Calibri"/>
        <family val="2"/>
      </rPr>
      <t>Allowance if there is only one parent</t>
    </r>
  </si>
  <si>
    <t>Age of older parent</t>
  </si>
  <si>
    <t># of Parents</t>
  </si>
  <si>
    <t>Table A5. Parents’ Contribution from Adjusted Available Income</t>
  </si>
  <si>
    <t>Min AAI</t>
  </si>
  <si>
    <t>Max AAI</t>
  </si>
  <si>
    <t>Rate</t>
  </si>
  <si>
    <t>Amount over</t>
  </si>
  <si>
    <t>AAI</t>
  </si>
  <si>
    <t>Parent's AAI</t>
  </si>
  <si>
    <r>
      <rPr>
        <b/>
        <sz val="11"/>
        <rFont val="Calibri"/>
        <family val="2"/>
      </rPr>
      <t xml:space="preserve">If the parents’ AAI is </t>
    </r>
    <r>
      <rPr>
        <u/>
        <sz val="11"/>
        <rFont val="Times New Roman"/>
        <family val="1"/>
      </rPr>
      <t>             </t>
    </r>
  </si>
  <si>
    <r>
      <rPr>
        <b/>
        <sz val="11"/>
        <rFont val="Calibri"/>
        <family val="2"/>
      </rPr>
      <t xml:space="preserve">Then the parents’ contribution from AAI is </t>
    </r>
    <r>
      <rPr>
        <u/>
        <sz val="11"/>
        <rFont val="Times New Roman"/>
        <family val="1"/>
      </rPr>
      <t>         </t>
    </r>
  </si>
  <si>
    <t>Parent contribution</t>
  </si>
  <si>
    <t>Less than -$8,500</t>
  </si>
  <si>
    <t>-$8,500 to $21,800</t>
  </si>
  <si>
    <r>
      <rPr>
        <sz val="11"/>
        <rFont val="Calibri"/>
        <family val="2"/>
      </rPr>
      <t>22% of AAI</t>
    </r>
  </si>
  <si>
    <t>$21,801 to $27,300</t>
  </si>
  <si>
    <r>
      <t xml:space="preserve">4,796 </t>
    </r>
    <r>
      <rPr>
        <b/>
        <sz val="11"/>
        <rFont val="Calibri"/>
        <family val="2"/>
      </rPr>
      <t xml:space="preserve">+ </t>
    </r>
    <r>
      <rPr>
        <sz val="11"/>
        <rFont val="Calibri"/>
        <family val="2"/>
      </rPr>
      <t>25% of AAI over $21,800</t>
    </r>
  </si>
  <si>
    <t>$27,301 to $32,800</t>
  </si>
  <si>
    <t>$6,171 + 29% of AAI over $27,300</t>
  </si>
  <si>
    <t>$32,801 to $38,400</t>
  </si>
  <si>
    <t xml:space="preserve">$7,766 + 34% of AAI over $32,800 </t>
  </si>
  <si>
    <t>$38,401 to $43,900</t>
  </si>
  <si>
    <t xml:space="preserve">$9,670 + 40% of AAI over $38,400 </t>
  </si>
  <si>
    <t>$43,901 or more</t>
  </si>
  <si>
    <t>$11,870 + 47% of AAI over $43,900</t>
  </si>
  <si>
    <r>
      <rPr>
        <i/>
        <sz val="14"/>
        <rFont val="Calibri"/>
        <family val="2"/>
      </rPr>
      <t xml:space="preserve">Formula B – Independent Students Without Dependent(s) Other than a Spouse
</t>
    </r>
    <r>
      <rPr>
        <sz val="11"/>
        <rFont val="Symbol"/>
        <family val="1"/>
      </rPr>
      <t></t>
    </r>
    <r>
      <rPr>
        <sz val="11"/>
        <rFont val="Times New Roman"/>
        <family val="1"/>
      </rPr>
      <t xml:space="preserve">     </t>
    </r>
    <r>
      <rPr>
        <sz val="11"/>
        <rFont val="Calibri"/>
        <family val="2"/>
      </rPr>
      <t xml:space="preserve">SAI = Student’s Contribution from Income + Student’s Contribution from Assets
</t>
    </r>
    <r>
      <rPr>
        <sz val="11"/>
        <rFont val="Symbol"/>
        <family val="1"/>
      </rPr>
      <t></t>
    </r>
    <r>
      <rPr>
        <sz val="11"/>
        <rFont val="Times New Roman"/>
        <family val="1"/>
      </rPr>
      <t xml:space="preserve">     </t>
    </r>
    <r>
      <rPr>
        <sz val="11"/>
        <rFont val="Calibri"/>
        <family val="2"/>
      </rPr>
      <t xml:space="preserve">Note: SAI can be negative; if negative and less than -1,500 replace value to be -1,500
</t>
    </r>
    <r>
      <rPr>
        <sz val="12"/>
        <rFont val="Calibri Light"/>
        <family val="2"/>
      </rPr>
      <t>Student Contribution from Income</t>
    </r>
  </si>
  <si>
    <r>
      <rPr>
        <sz val="11"/>
        <rFont val="Calibri"/>
        <family val="2"/>
      </rPr>
      <t>Student (and Spouse) Income Additions</t>
    </r>
  </si>
  <si>
    <r>
      <rPr>
        <sz val="11"/>
        <rFont val="Calibri"/>
        <family val="2"/>
      </rPr>
      <t>a.    Student (and Spouse) AGI</t>
    </r>
  </si>
  <si>
    <r>
      <rPr>
        <sz val="11"/>
        <rFont val="Calibri"/>
        <family val="2"/>
      </rPr>
      <t>b.    Student (and Spouse) Deductible Payments to IRA/KEOGH/Other</t>
    </r>
  </si>
  <si>
    <r>
      <rPr>
        <sz val="11"/>
        <rFont val="Calibri"/>
        <family val="2"/>
      </rPr>
      <t>c.    Student (and Spouse) Exempt Interest Income</t>
    </r>
  </si>
  <si>
    <t>d.    Student (and Spouse) Untaxed Portions of IRA Distributions 
(Subtract rollovers; if less than zero, put zero)</t>
  </si>
  <si>
    <t>e.    Student (and Spouse) Untaxed Portions of Pensions (Subtract Pension rollovers; if total is less than zero, enter zero)</t>
  </si>
  <si>
    <t>f.    Student (and Spouse) Foreign Income Exclusion (reported on U.S. Tax Return;
if less than zero, put zero)</t>
  </si>
  <si>
    <t>1.    Total Student (and Spouse) Income Additions (sum of lines a, b, c, d, e and f)</t>
  </si>
  <si>
    <r>
      <rPr>
        <sz val="11"/>
        <rFont val="Calibri"/>
        <family val="2"/>
      </rPr>
      <t>Student (and Spouse) Income Offsets</t>
    </r>
  </si>
  <si>
    <t>g.     Student (and Spouse) College Grant and Scholarship Aid</t>
  </si>
  <si>
    <t>h.    Student (and Spouse) Education Credits</t>
  </si>
  <si>
    <t>i.    Student (and Spouse) Federal Work-study (FWS)</t>
  </si>
  <si>
    <t>2.    Total Student (and Spouse) Income Offsets (sum lines g, h, and i)</t>
  </si>
  <si>
    <r>
      <rPr>
        <sz val="11"/>
        <rFont val="Calibri"/>
        <family val="2"/>
      </rPr>
      <t xml:space="preserve">3.    Total Student (and Spouse) Income (line 1 minus line 2)
</t>
    </r>
    <r>
      <rPr>
        <sz val="11"/>
        <rFont val="Symbol"/>
        <family val="1"/>
      </rPr>
      <t></t>
    </r>
    <r>
      <rPr>
        <sz val="11"/>
        <rFont val="Times New Roman"/>
        <family val="1"/>
      </rPr>
      <t xml:space="preserve">     </t>
    </r>
    <r>
      <rPr>
        <sz val="11"/>
        <rFont val="Calibri"/>
        <family val="2"/>
      </rPr>
      <t xml:space="preserve">Total Student (and Spouse) Income Additions – Total Student (and Spouse) Income Offsets
</t>
    </r>
    <r>
      <rPr>
        <sz val="11"/>
        <rFont val="Symbol"/>
        <family val="1"/>
      </rPr>
      <t></t>
    </r>
    <r>
      <rPr>
        <sz val="11"/>
        <rFont val="Times New Roman"/>
        <family val="1"/>
      </rPr>
      <t xml:space="preserve">     </t>
    </r>
    <r>
      <rPr>
        <sz val="11"/>
        <rFont val="Calibri"/>
        <family val="2"/>
      </rPr>
      <t>May be a negative number</t>
    </r>
  </si>
  <si>
    <r>
      <rPr>
        <sz val="11"/>
        <rFont val="Calibri"/>
        <family val="2"/>
      </rPr>
      <t>Allowances Against Student (and Spouse) Income</t>
    </r>
  </si>
  <si>
    <r>
      <rPr>
        <sz val="11"/>
        <rFont val="Calibri"/>
        <family val="2"/>
      </rPr>
      <t>4.    Student (and Spouse) U.S. Income Tax Paid (or Foreign Equivalent)</t>
    </r>
  </si>
  <si>
    <r>
      <rPr>
        <sz val="11"/>
        <rFont val="Calibri"/>
        <family val="2"/>
      </rPr>
      <t>5.    Payroll Tax Allowance (Table B1)</t>
    </r>
  </si>
  <si>
    <t>a.    Medicare’s Hospital Insurance (HI) Program Tax Rate (Table B1: Step 1)</t>
  </si>
  <si>
    <t>b.    Old-age, survivors, and disability insurance (OASDI) Tax Rate (Table B1: Step 2)</t>
  </si>
  <si>
    <r>
      <rPr>
        <sz val="11"/>
        <rFont val="Calibri"/>
        <family val="2"/>
      </rPr>
      <t xml:space="preserve">6.    Income Protection Allowance (IPA)
</t>
    </r>
    <r>
      <rPr>
        <sz val="11"/>
        <rFont val="Symbol"/>
        <family val="1"/>
      </rPr>
      <t></t>
    </r>
    <r>
      <rPr>
        <sz val="11"/>
        <rFont val="Times New Roman"/>
        <family val="1"/>
      </rPr>
      <t xml:space="preserve">     </t>
    </r>
    <r>
      <rPr>
        <sz val="11"/>
        <rFont val="Calibri"/>
        <family val="2"/>
      </rPr>
      <t xml:space="preserve">If the student is not married (single, separated or divorced/widowed): $18,310
</t>
    </r>
    <r>
      <rPr>
        <sz val="11"/>
        <rFont val="Symbol"/>
        <family val="1"/>
      </rPr>
      <t></t>
    </r>
    <r>
      <rPr>
        <sz val="11"/>
        <rFont val="Times New Roman"/>
        <family val="1"/>
      </rPr>
      <t xml:space="preserve">     </t>
    </r>
    <r>
      <rPr>
        <sz val="11"/>
        <rFont val="Calibri"/>
        <family val="2"/>
      </rPr>
      <t>If the student is married (married/remarried): $29,350</t>
    </r>
  </si>
  <si>
    <r>
      <rPr>
        <sz val="11"/>
        <rFont val="Calibri"/>
        <family val="2"/>
      </rPr>
      <t xml:space="preserve">7.    Employment Expense Allowance (EEA)
</t>
    </r>
    <r>
      <rPr>
        <sz val="11"/>
        <rFont val="Symbol"/>
        <family val="1"/>
      </rPr>
      <t></t>
    </r>
    <r>
      <rPr>
        <sz val="11"/>
        <rFont val="Times New Roman"/>
        <family val="1"/>
      </rPr>
      <t xml:space="preserve">     </t>
    </r>
    <r>
      <rPr>
        <sz val="11"/>
        <rFont val="Calibri"/>
        <family val="2"/>
      </rPr>
      <t xml:space="preserve">If the student is not married (single, separated or divorced/widowed): $0
</t>
    </r>
    <r>
      <rPr>
        <sz val="11"/>
        <rFont val="Symbol"/>
        <family val="1"/>
      </rPr>
      <t></t>
    </r>
    <r>
      <rPr>
        <sz val="11"/>
        <rFont val="Times New Roman"/>
        <family val="1"/>
      </rPr>
      <t xml:space="preserve">     </t>
    </r>
    <r>
      <rPr>
        <sz val="11"/>
        <rFont val="Calibri"/>
        <family val="2"/>
      </rPr>
      <t xml:space="preserve">If the student is married (married/remarried), the lesser of:
</t>
    </r>
    <r>
      <rPr>
        <sz val="11"/>
        <rFont val="Courier New"/>
        <family val="3"/>
      </rPr>
      <t xml:space="preserve">o  </t>
    </r>
    <r>
      <rPr>
        <sz val="11"/>
        <rFont val="Calibri"/>
        <family val="2"/>
      </rPr>
      <t xml:space="preserve">35% of the student and student’s spouse combined earned income, OR
</t>
    </r>
    <r>
      <rPr>
        <sz val="11"/>
        <rFont val="Courier New"/>
        <family val="3"/>
      </rPr>
      <t xml:space="preserve">o  </t>
    </r>
    <r>
      <rPr>
        <sz val="11"/>
        <rFont val="Calibri"/>
        <family val="2"/>
      </rPr>
      <t>$5,000</t>
    </r>
  </si>
  <si>
    <r>
      <rPr>
        <sz val="11"/>
        <rFont val="Calibri"/>
        <family val="2"/>
      </rPr>
      <t xml:space="preserve">8.    Total Student (and Spouse) Allowances Against Income (sum lines 4, 5a, 5b, 6 and
</t>
    </r>
    <r>
      <rPr>
        <sz val="11"/>
        <rFont val="Calibri"/>
        <family val="2"/>
      </rPr>
      <t>7)</t>
    </r>
  </si>
  <si>
    <r>
      <rPr>
        <sz val="11"/>
        <rFont val="Calibri"/>
        <family val="2"/>
      </rPr>
      <t>Total Student (and Spouse) Income (line 3)</t>
    </r>
  </si>
  <si>
    <r>
      <rPr>
        <sz val="11"/>
        <rFont val="Calibri"/>
        <family val="2"/>
      </rPr>
      <t>Total Student (and Spouse) Allowances Against Income (line 8)</t>
    </r>
  </si>
  <si>
    <r>
      <rPr>
        <sz val="11"/>
        <rFont val="Calibri"/>
        <family val="2"/>
      </rPr>
      <t xml:space="preserve">9.    Student Available Income (StAI; line 3 minus line 8)
</t>
    </r>
    <r>
      <rPr>
        <sz val="11"/>
        <rFont val="Symbol"/>
        <family val="1"/>
      </rPr>
      <t></t>
    </r>
    <r>
      <rPr>
        <sz val="11"/>
        <rFont val="Times New Roman"/>
        <family val="1"/>
      </rPr>
      <t xml:space="preserve">     </t>
    </r>
    <r>
      <rPr>
        <sz val="11"/>
        <rFont val="Calibri"/>
        <family val="2"/>
      </rPr>
      <t>May be a negative number</t>
    </r>
  </si>
  <si>
    <r>
      <rPr>
        <sz val="11"/>
        <rFont val="Calibri"/>
        <family val="2"/>
      </rPr>
      <t>10.  Assessment of Student Available Income (50%)</t>
    </r>
  </si>
  <si>
    <r>
      <rPr>
        <sz val="11"/>
        <rFont val="Calibri"/>
        <family val="2"/>
      </rPr>
      <t>11.  Student’s Contribution from Income (line 9 times line 10)</t>
    </r>
  </si>
  <si>
    <r>
      <rPr>
        <sz val="11"/>
        <rFont val="Calibri"/>
        <family val="2"/>
      </rPr>
      <t>12.  Annual child support received for the last complete calendar year</t>
    </r>
  </si>
  <si>
    <r>
      <rPr>
        <sz val="11"/>
        <rFont val="Calibri"/>
        <family val="2"/>
      </rPr>
      <t>13.  Cash, savings, checking accounts, time deposits, and money market funds</t>
    </r>
  </si>
  <si>
    <r>
      <rPr>
        <sz val="11"/>
        <rFont val="Calibri"/>
        <family val="2"/>
      </rPr>
      <t xml:space="preserve">14.  Net worth of investments
</t>
    </r>
    <r>
      <rPr>
        <sz val="11"/>
        <rFont val="Symbol"/>
        <family val="1"/>
      </rPr>
      <t></t>
    </r>
    <r>
      <rPr>
        <sz val="11"/>
        <rFont val="Times New Roman"/>
        <family val="1"/>
      </rPr>
      <t xml:space="preserve">     </t>
    </r>
    <r>
      <rPr>
        <sz val="11"/>
        <rFont val="Calibri"/>
        <family val="2"/>
      </rPr>
      <t xml:space="preserve">Includes: Real estate (excluding primary residence), vacation homes, income producing property, trusts, stocks, bonds, derivatives, securities, mutual funds, tax shelters, and qualified education benefits
</t>
    </r>
    <r>
      <rPr>
        <sz val="11"/>
        <rFont val="Symbol"/>
        <family val="1"/>
      </rPr>
      <t></t>
    </r>
    <r>
      <rPr>
        <sz val="11"/>
        <rFont val="Times New Roman"/>
        <family val="1"/>
      </rPr>
      <t xml:space="preserve">     </t>
    </r>
    <r>
      <rPr>
        <sz val="11"/>
        <rFont val="Calibri"/>
        <family val="2"/>
      </rPr>
      <t>If negative, enter zero</t>
    </r>
  </si>
  <si>
    <r>
      <rPr>
        <sz val="11"/>
        <rFont val="Calibri"/>
        <family val="2"/>
      </rPr>
      <t xml:space="preserve">15.  Adjusted net worth of business and/or farm (Table B2)
</t>
    </r>
    <r>
      <rPr>
        <sz val="11"/>
        <rFont val="Symbol"/>
        <family val="1"/>
      </rPr>
      <t></t>
    </r>
    <r>
      <rPr>
        <sz val="11"/>
        <rFont val="Times New Roman"/>
        <family val="1"/>
      </rPr>
      <t xml:space="preserve">     </t>
    </r>
    <r>
      <rPr>
        <sz val="11"/>
        <rFont val="Calibri"/>
        <family val="2"/>
      </rPr>
      <t>Net worth of business and/or farm multiplied by the applicable adjustment in Table B2</t>
    </r>
  </si>
  <si>
    <r>
      <rPr>
        <sz val="11"/>
        <rFont val="Calibri"/>
        <family val="2"/>
      </rPr>
      <t>16.  Net worth (sum of lines 12, 13, 14, and 15)</t>
    </r>
  </si>
  <si>
    <r>
      <rPr>
        <sz val="11"/>
        <rFont val="Calibri"/>
        <family val="2"/>
      </rPr>
      <t>17.  Asset Protection Allowance (Table B3)</t>
    </r>
  </si>
  <si>
    <t>18.  Discretionary Net Worth (Line 16 minus line 17)</t>
  </si>
  <si>
    <r>
      <rPr>
        <sz val="11"/>
        <rFont val="Calibri"/>
        <family val="2"/>
      </rPr>
      <t>19.  Asset Conversion Rate (20%)</t>
    </r>
  </si>
  <si>
    <r>
      <rPr>
        <sz val="11"/>
        <rFont val="Calibri"/>
        <family val="2"/>
      </rPr>
      <t xml:space="preserve">20.  Student Contribution from Assets (SCA)
</t>
    </r>
    <r>
      <rPr>
        <sz val="11"/>
        <rFont val="Symbol"/>
        <family val="1"/>
      </rPr>
      <t></t>
    </r>
    <r>
      <rPr>
        <sz val="11"/>
        <rFont val="Times New Roman"/>
        <family val="1"/>
      </rPr>
      <t xml:space="preserve">     </t>
    </r>
    <r>
      <rPr>
        <sz val="11"/>
        <rFont val="Calibri"/>
        <family val="2"/>
      </rPr>
      <t xml:space="preserve">Line 18 times line 19
</t>
    </r>
    <r>
      <rPr>
        <sz val="11"/>
        <rFont val="Symbol"/>
        <family val="1"/>
      </rPr>
      <t></t>
    </r>
    <r>
      <rPr>
        <sz val="11"/>
        <rFont val="Times New Roman"/>
        <family val="1"/>
      </rPr>
      <t xml:space="preserve">     </t>
    </r>
    <r>
      <rPr>
        <sz val="11"/>
        <rFont val="Calibri"/>
        <family val="2"/>
      </rPr>
      <t>If negative, enter zero</t>
    </r>
  </si>
  <si>
    <r>
      <rPr>
        <sz val="12"/>
        <rFont val="Calibri Light"/>
        <family val="2"/>
      </rPr>
      <t>Student Aid Index</t>
    </r>
  </si>
  <si>
    <r>
      <rPr>
        <sz val="11"/>
        <rFont val="Calibri"/>
        <family val="2"/>
      </rPr>
      <t xml:space="preserve">Student Contribution from Income (line 11)
</t>
    </r>
    <r>
      <rPr>
        <sz val="11"/>
        <rFont val="Symbol"/>
        <family val="1"/>
      </rPr>
      <t></t>
    </r>
    <r>
      <rPr>
        <sz val="11"/>
        <rFont val="Times New Roman"/>
        <family val="1"/>
      </rPr>
      <t xml:space="preserve">     </t>
    </r>
    <r>
      <rPr>
        <sz val="11"/>
        <rFont val="Calibri"/>
        <family val="2"/>
      </rPr>
      <t>May be a negative number</t>
    </r>
  </si>
  <si>
    <r>
      <rPr>
        <sz val="11"/>
        <rFont val="Calibri"/>
        <family val="2"/>
      </rPr>
      <t>Student Contribution from Assets (line 20)</t>
    </r>
  </si>
  <si>
    <r>
      <rPr>
        <sz val="11"/>
        <rFont val="Calibri"/>
        <family val="2"/>
      </rPr>
      <t xml:space="preserve">21.  Student Aid Index (SAI)
</t>
    </r>
    <r>
      <rPr>
        <sz val="11"/>
        <rFont val="Symbol"/>
        <family val="1"/>
      </rPr>
      <t></t>
    </r>
    <r>
      <rPr>
        <sz val="11"/>
        <rFont val="Times New Roman"/>
        <family val="1"/>
      </rPr>
      <t xml:space="preserve">     </t>
    </r>
    <r>
      <rPr>
        <sz val="11"/>
        <rFont val="Calibri"/>
        <family val="2"/>
      </rPr>
      <t xml:space="preserve">If negative, and &lt; -1,500, adjust to -1,500 (e.g., If negative 2,000 set to -1,500)
</t>
    </r>
    <r>
      <rPr>
        <sz val="11"/>
        <rFont val="Symbol"/>
        <family val="1"/>
      </rPr>
      <t></t>
    </r>
    <r>
      <rPr>
        <sz val="11"/>
        <rFont val="Times New Roman"/>
        <family val="1"/>
      </rPr>
      <t xml:space="preserve">     </t>
    </r>
    <r>
      <rPr>
        <sz val="11"/>
        <rFont val="Calibri"/>
        <family val="2"/>
      </rPr>
      <t>If negative, and &gt;= -1,500, do not adjust (e.g., If -1,000 leave as -1,000)</t>
    </r>
  </si>
  <si>
    <r>
      <rPr>
        <i/>
        <sz val="14"/>
        <rFont val="Calibri"/>
        <family val="2"/>
      </rPr>
      <t xml:space="preserve">Supplementary Tables for Formula B – Independent Students Without Dependent(s) Other than a Spouse
</t>
    </r>
    <r>
      <rPr>
        <sz val="12"/>
        <rFont val="Calibri Light"/>
        <family val="2"/>
      </rPr>
      <t>Table B1: Payroll Tax Allowance</t>
    </r>
  </si>
  <si>
    <r>
      <rPr>
        <sz val="11"/>
        <rFont val="Calibri"/>
        <family val="2"/>
      </rPr>
      <t xml:space="preserve">If Student filed as Not Married (e.g., single, head of household, or qualifying widow(er)):
</t>
    </r>
    <r>
      <rPr>
        <sz val="11"/>
        <rFont val="Symbol"/>
        <family val="1"/>
      </rPr>
      <t></t>
    </r>
    <r>
      <rPr>
        <sz val="11"/>
        <rFont val="Times New Roman"/>
        <family val="1"/>
      </rPr>
      <t xml:space="preserve">     </t>
    </r>
    <r>
      <rPr>
        <sz val="11"/>
        <rFont val="Calibri"/>
        <family val="2"/>
      </rPr>
      <t xml:space="preserve">1.45% of student earned income up to $200,000, (+) plus
</t>
    </r>
    <r>
      <rPr>
        <sz val="11"/>
        <rFont val="Symbol"/>
        <family val="1"/>
      </rPr>
      <t></t>
    </r>
    <r>
      <rPr>
        <sz val="11"/>
        <rFont val="Times New Roman"/>
        <family val="1"/>
      </rPr>
      <t xml:space="preserve">     </t>
    </r>
    <r>
      <rPr>
        <sz val="11"/>
        <rFont val="Calibri"/>
        <family val="2"/>
      </rPr>
      <t xml:space="preserve">2.35% of student earned income over $200,000 If Student filed as Married-Filed Joint Return (MFJ):
</t>
    </r>
    <r>
      <rPr>
        <sz val="11"/>
        <rFont val="Symbol"/>
        <family val="1"/>
      </rPr>
      <t></t>
    </r>
    <r>
      <rPr>
        <sz val="11"/>
        <rFont val="Times New Roman"/>
        <family val="1"/>
      </rPr>
      <t xml:space="preserve">     </t>
    </r>
    <r>
      <rPr>
        <sz val="11"/>
        <rFont val="Calibri"/>
        <family val="2"/>
      </rPr>
      <t xml:space="preserve">1.45% of student and student spouse’s combined earned income up to
</t>
    </r>
    <r>
      <rPr>
        <sz val="11"/>
        <rFont val="Calibri"/>
        <family val="2"/>
      </rPr>
      <t xml:space="preserve">$250,000, (+) plus
</t>
    </r>
    <r>
      <rPr>
        <sz val="11"/>
        <rFont val="Symbol"/>
        <family val="1"/>
      </rPr>
      <t></t>
    </r>
    <r>
      <rPr>
        <sz val="11"/>
        <rFont val="Times New Roman"/>
        <family val="1"/>
      </rPr>
      <t xml:space="preserve">     </t>
    </r>
    <r>
      <rPr>
        <sz val="11"/>
        <rFont val="Calibri"/>
        <family val="2"/>
      </rPr>
      <t xml:space="preserve">2.35% of student and student spouse’s combined earned income over
</t>
    </r>
    <r>
      <rPr>
        <sz val="11"/>
        <rFont val="Calibri"/>
        <family val="2"/>
      </rPr>
      <t xml:space="preserve">$250,000
</t>
    </r>
    <r>
      <rPr>
        <sz val="11"/>
        <rFont val="Calibri"/>
        <family val="2"/>
      </rPr>
      <t xml:space="preserve">If Student filed as Married-Filed Separate Return (MFS):
</t>
    </r>
    <r>
      <rPr>
        <sz val="11"/>
        <rFont val="Symbol"/>
        <family val="1"/>
      </rPr>
      <t></t>
    </r>
    <r>
      <rPr>
        <sz val="11"/>
        <rFont val="Times New Roman"/>
        <family val="1"/>
      </rPr>
      <t xml:space="preserve">     </t>
    </r>
    <r>
      <rPr>
        <sz val="11"/>
        <rFont val="Calibri"/>
        <family val="2"/>
      </rPr>
      <t xml:space="preserve">1.45% of student earned income up to $125,000, (+) plus
</t>
    </r>
    <r>
      <rPr>
        <sz val="11"/>
        <rFont val="Symbol"/>
        <family val="1"/>
      </rPr>
      <t></t>
    </r>
    <r>
      <rPr>
        <sz val="11"/>
        <rFont val="Times New Roman"/>
        <family val="1"/>
      </rPr>
      <t xml:space="preserve">     </t>
    </r>
    <r>
      <rPr>
        <sz val="11"/>
        <rFont val="Calibri"/>
        <family val="2"/>
      </rPr>
      <t xml:space="preserve">1.45% of student spouse’s earned income up to $125,000, (+) plus
</t>
    </r>
    <r>
      <rPr>
        <sz val="11"/>
        <rFont val="Symbol"/>
        <family val="1"/>
      </rPr>
      <t></t>
    </r>
    <r>
      <rPr>
        <sz val="11"/>
        <rFont val="Times New Roman"/>
        <family val="1"/>
      </rPr>
      <t xml:space="preserve">     </t>
    </r>
    <r>
      <rPr>
        <sz val="11"/>
        <rFont val="Calibri"/>
        <family val="2"/>
      </rPr>
      <t xml:space="preserve">2.35% of student earned income over $125,000 (+) plus
</t>
    </r>
    <r>
      <rPr>
        <sz val="11"/>
        <rFont val="Symbol"/>
        <family val="1"/>
      </rPr>
      <t></t>
    </r>
    <r>
      <rPr>
        <sz val="11"/>
        <rFont val="Times New Roman"/>
        <family val="1"/>
      </rPr>
      <t xml:space="preserve">     </t>
    </r>
    <r>
      <rPr>
        <sz val="11"/>
        <rFont val="Calibri"/>
        <family val="2"/>
      </rPr>
      <t>2.35% of student spouse’s earned income over $125,000</t>
    </r>
  </si>
  <si>
    <t>For independent students without a spouse or those who only report a single tax return, 6.2% of total earned income up to Contributions and Benefit Base of
$168,600 for Tax Year 2024. If student’s total earned income exceeds $168,600,
then input $10,453*.
For those reporting both student and student spouse income or who are married and filed a joint return, 6.2% of total student and student spouse earned income up to Contributions and Benefit Base of $337,200 for Tax Year 2024. If the student and student spouse total earned income exceeds $337,200, then input $18,228*.</t>
  </si>
  <si>
    <t>Step 1: Medicare’s Hospital Insurance (HI) Program Tax Rate</t>
  </si>
  <si>
    <t>Student Filing Status</t>
  </si>
  <si>
    <t>Income Limit for not Married</t>
  </si>
  <si>
    <t>Income limit for MFJ</t>
  </si>
  <si>
    <t>Income Limit for MFS</t>
  </si>
  <si>
    <t>Student wages</t>
  </si>
  <si>
    <t>Spouse wages</t>
  </si>
  <si>
    <t>Total Wages</t>
  </si>
  <si>
    <t>Step 1 Allowance</t>
  </si>
  <si>
    <t>Step 2: Old-age, survivors, and disability insurance (OASDI) Tax Rate</t>
  </si>
  <si>
    <t>Single Student Max income</t>
  </si>
  <si>
    <t>Single Student max allowance</t>
  </si>
  <si>
    <t>Married Student Max income</t>
  </si>
  <si>
    <t>Married student max allowance</t>
  </si>
  <si>
    <r>
      <rPr>
        <sz val="12"/>
        <rFont val="Calibri Light"/>
        <family val="2"/>
      </rPr>
      <t>Table B2. Business/Farm Net Worth Adjustment</t>
    </r>
  </si>
  <si>
    <t>$520,001 to $870,000</t>
  </si>
  <si>
    <r>
      <rPr>
        <sz val="12"/>
        <rFont val="Calibri Light"/>
        <family val="2"/>
      </rPr>
      <t>Table B3: Asset Protection Allowance</t>
    </r>
  </si>
  <si>
    <r>
      <rPr>
        <b/>
        <sz val="11"/>
        <rFont val="Calibri"/>
        <family val="2"/>
      </rPr>
      <t xml:space="preserve">Age of student as of
</t>
    </r>
    <r>
      <rPr>
        <b/>
        <sz val="11"/>
        <rFont val="Calibri"/>
        <family val="2"/>
      </rPr>
      <t>12/31/2023</t>
    </r>
  </si>
  <si>
    <r>
      <rPr>
        <b/>
        <sz val="11"/>
        <rFont val="Calibri"/>
        <family val="2"/>
      </rPr>
      <t xml:space="preserve">Allowance married
</t>
    </r>
    <r>
      <rPr>
        <b/>
        <sz val="11"/>
        <rFont val="Calibri"/>
        <family val="2"/>
      </rPr>
      <t>student</t>
    </r>
  </si>
  <si>
    <r>
      <rPr>
        <b/>
        <sz val="11"/>
        <rFont val="Calibri"/>
        <family val="2"/>
      </rPr>
      <t xml:space="preserve">Allowance for unmarried
</t>
    </r>
    <r>
      <rPr>
        <b/>
        <sz val="11"/>
        <rFont val="Calibri"/>
        <family val="2"/>
      </rPr>
      <t>student</t>
    </r>
  </si>
  <si>
    <r>
      <rPr>
        <i/>
        <sz val="14"/>
        <rFont val="Calibri"/>
        <family val="2"/>
      </rPr>
      <t xml:space="preserve">Formula C – Independent Students with Dependent(s) Other than a Spouse
</t>
    </r>
    <r>
      <rPr>
        <sz val="11"/>
        <rFont val="Symbol"/>
        <family val="1"/>
      </rPr>
      <t></t>
    </r>
    <r>
      <rPr>
        <sz val="11"/>
        <rFont val="Times New Roman"/>
        <family val="1"/>
      </rPr>
      <t xml:space="preserve">     </t>
    </r>
    <r>
      <rPr>
        <sz val="11"/>
        <rFont val="Calibri"/>
        <family val="2"/>
      </rPr>
      <t xml:space="preserve">SAI = Student’s Contribution from Income + Student’s Contribution from Assets
</t>
    </r>
    <r>
      <rPr>
        <sz val="11"/>
        <rFont val="Symbol"/>
        <family val="1"/>
      </rPr>
      <t></t>
    </r>
    <r>
      <rPr>
        <sz val="11"/>
        <rFont val="Times New Roman"/>
        <family val="1"/>
      </rPr>
      <t xml:space="preserve">     </t>
    </r>
    <r>
      <rPr>
        <sz val="11"/>
        <rFont val="Calibri"/>
        <family val="2"/>
      </rPr>
      <t xml:space="preserve">Note: SAI can be negative; if negative and less than -1,500 replace value to be -1,500
</t>
    </r>
    <r>
      <rPr>
        <sz val="12"/>
        <rFont val="Calibri Light"/>
        <family val="2"/>
      </rPr>
      <t>Student Contribution from Income</t>
    </r>
  </si>
  <si>
    <r>
      <rPr>
        <sz val="11"/>
        <rFont val="Calibri"/>
        <family val="2"/>
      </rPr>
      <t xml:space="preserve">d.    Student (and Spouse) Untaxed Portions of IRA Distributions and Pensions
</t>
    </r>
    <r>
      <rPr>
        <sz val="11"/>
        <rFont val="Calibri"/>
        <family val="2"/>
      </rPr>
      <t>(Excluding rollovers; if less than zero, put zero)</t>
    </r>
  </si>
  <si>
    <t>e.    Untaxed Portions of Pensions (subtract Pension rollover; if total is less than zero, enter zero)</t>
  </si>
  <si>
    <r>
      <rPr>
        <sz val="11"/>
        <rFont val="Calibri"/>
        <family val="2"/>
      </rPr>
      <t>5.    Payroll Tax Allowance (Table C1)</t>
    </r>
  </si>
  <si>
    <r>
      <rPr>
        <sz val="11"/>
        <rFont val="Calibri"/>
        <family val="2"/>
      </rPr>
      <t xml:space="preserve">a.    Medicare’s Hospital Insurance (HI) Program Tax Rate (Table C1: Step 1; if
</t>
    </r>
    <r>
      <rPr>
        <sz val="11"/>
        <rFont val="Calibri"/>
        <family val="2"/>
      </rPr>
      <t>negative, enter zero)</t>
    </r>
  </si>
  <si>
    <r>
      <rPr>
        <sz val="11"/>
        <rFont val="Calibri"/>
        <family val="2"/>
      </rPr>
      <t xml:space="preserve">b.    Old-age, survivors, and disability insurance (OASDI) Tax Rate (Table C1: Step 2;
</t>
    </r>
    <r>
      <rPr>
        <sz val="11"/>
        <rFont val="Calibri"/>
        <family val="2"/>
      </rPr>
      <t>if negative, enter zero)</t>
    </r>
  </si>
  <si>
    <r>
      <rPr>
        <sz val="11"/>
        <rFont val="Calibri"/>
        <family val="2"/>
      </rPr>
      <t xml:space="preserve">6.    Income Protection Allowance (IPA)
</t>
    </r>
    <r>
      <rPr>
        <sz val="11"/>
        <rFont val="Symbol"/>
        <family val="1"/>
      </rPr>
      <t></t>
    </r>
    <r>
      <rPr>
        <sz val="11"/>
        <rFont val="Times New Roman"/>
        <family val="1"/>
      </rPr>
      <t xml:space="preserve">     </t>
    </r>
    <r>
      <rPr>
        <sz val="11"/>
        <rFont val="Calibri"/>
        <family val="2"/>
      </rPr>
      <t xml:space="preserve">See Table C2 if the student is married (married/remarried) with dependents
</t>
    </r>
    <r>
      <rPr>
        <sz val="11"/>
        <rFont val="Symbol"/>
        <family val="1"/>
      </rPr>
      <t></t>
    </r>
    <r>
      <rPr>
        <sz val="11"/>
        <rFont val="Times New Roman"/>
        <family val="1"/>
      </rPr>
      <t xml:space="preserve">     </t>
    </r>
    <r>
      <rPr>
        <sz val="11"/>
        <rFont val="Calibri"/>
        <family val="2"/>
      </rPr>
      <t>Table C3 if the student is not married (e.g., single, head of household, or qualifying widow(er)) with dependents</t>
    </r>
  </si>
  <si>
    <r>
      <rPr>
        <sz val="11"/>
        <rFont val="Calibri"/>
        <family val="2"/>
      </rPr>
      <t xml:space="preserve">7.    Employment Expense Allowance (EEA)
</t>
    </r>
    <r>
      <rPr>
        <sz val="11"/>
        <rFont val="Symbol"/>
        <family val="1"/>
      </rPr>
      <t></t>
    </r>
    <r>
      <rPr>
        <sz val="11"/>
        <rFont val="Times New Roman"/>
        <family val="1"/>
      </rPr>
      <t xml:space="preserve">     </t>
    </r>
    <r>
      <rPr>
        <sz val="11"/>
        <rFont val="Calibri"/>
        <family val="2"/>
      </rPr>
      <t xml:space="preserve">If the student is not married (e.g., single, head of household, or qualifying widow(er)), the lesser of:
</t>
    </r>
    <r>
      <rPr>
        <sz val="11"/>
        <rFont val="Courier New"/>
        <family val="3"/>
      </rPr>
      <t xml:space="preserve">o  </t>
    </r>
    <r>
      <rPr>
        <sz val="11"/>
        <rFont val="Calibri"/>
        <family val="2"/>
      </rPr>
      <t xml:space="preserve">35% of the student earned income, OR
</t>
    </r>
    <r>
      <rPr>
        <sz val="11"/>
        <rFont val="Courier New"/>
        <family val="3"/>
      </rPr>
      <t xml:space="preserve">o  </t>
    </r>
    <r>
      <rPr>
        <sz val="11"/>
        <rFont val="Calibri"/>
        <family val="2"/>
      </rPr>
      <t xml:space="preserve">$5,000
</t>
    </r>
    <r>
      <rPr>
        <sz val="11"/>
        <rFont val="Symbol"/>
        <family val="1"/>
      </rPr>
      <t></t>
    </r>
    <r>
      <rPr>
        <sz val="11"/>
        <rFont val="Times New Roman"/>
        <family val="1"/>
      </rPr>
      <t xml:space="preserve">     </t>
    </r>
    <r>
      <rPr>
        <sz val="11"/>
        <rFont val="Calibri"/>
        <family val="2"/>
      </rPr>
      <t xml:space="preserve">If the student is married (married/remarried), the lesser of:
</t>
    </r>
    <r>
      <rPr>
        <sz val="11"/>
        <rFont val="Courier New"/>
        <family val="3"/>
      </rPr>
      <t xml:space="preserve">o  </t>
    </r>
    <r>
      <rPr>
        <sz val="11"/>
        <rFont val="Calibri"/>
        <family val="2"/>
      </rPr>
      <t xml:space="preserve">35% of the student and student’s spouse combined earned income, OR
</t>
    </r>
    <r>
      <rPr>
        <sz val="11"/>
        <rFont val="Courier New"/>
        <family val="3"/>
      </rPr>
      <t xml:space="preserve">o  </t>
    </r>
    <r>
      <rPr>
        <sz val="11"/>
        <rFont val="Calibri"/>
        <family val="2"/>
      </rPr>
      <t>$5,000</t>
    </r>
  </si>
  <si>
    <t>8.    Total Student (and Spouse) Allowances Against Income (sum lines 4, 5a, 5b, 6 and</t>
  </si>
  <si>
    <r>
      <rPr>
        <sz val="11"/>
        <rFont val="Calibri"/>
        <family val="2"/>
      </rPr>
      <t>Student’s Available Income (StAI)</t>
    </r>
  </si>
  <si>
    <r>
      <rPr>
        <sz val="11"/>
        <rFont val="Calibri"/>
        <family val="2"/>
      </rPr>
      <t xml:space="preserve">9.    Student Available Income (line 3 minus line 8)
</t>
    </r>
    <r>
      <rPr>
        <sz val="11"/>
        <rFont val="Symbol"/>
        <family val="1"/>
      </rPr>
      <t></t>
    </r>
    <r>
      <rPr>
        <sz val="11"/>
        <rFont val="Times New Roman"/>
        <family val="1"/>
      </rPr>
      <t xml:space="preserve">     </t>
    </r>
    <r>
      <rPr>
        <sz val="11"/>
        <rFont val="Calibri"/>
        <family val="2"/>
      </rPr>
      <t>May be a negative number</t>
    </r>
  </si>
  <si>
    <r>
      <rPr>
        <sz val="11"/>
        <rFont val="Calibri"/>
        <family val="2"/>
      </rPr>
      <t>11.  Cash, savings, checking accounts, time deposits, and money market funds</t>
    </r>
  </si>
  <si>
    <r>
      <rPr>
        <sz val="11"/>
        <rFont val="Calibri"/>
        <family val="2"/>
      </rPr>
      <t xml:space="preserve">12.  Net worth of investments
</t>
    </r>
    <r>
      <rPr>
        <sz val="11"/>
        <rFont val="Symbol"/>
        <family val="1"/>
      </rPr>
      <t></t>
    </r>
    <r>
      <rPr>
        <sz val="11"/>
        <rFont val="Times New Roman"/>
        <family val="1"/>
      </rPr>
      <t xml:space="preserve">     </t>
    </r>
    <r>
      <rPr>
        <sz val="11"/>
        <rFont val="Calibri"/>
        <family val="2"/>
      </rPr>
      <t xml:space="preserve">Includes: Real estate (excluding primary residence), vacation homes, income producing property, trusts, stocks, bonds, derivatives, securities, mutual funds, tax shelters, and qualified education benefits
</t>
    </r>
    <r>
      <rPr>
        <sz val="11"/>
        <rFont val="Symbol"/>
        <family val="1"/>
      </rPr>
      <t></t>
    </r>
    <r>
      <rPr>
        <sz val="11"/>
        <rFont val="Times New Roman"/>
        <family val="1"/>
      </rPr>
      <t xml:space="preserve">     </t>
    </r>
    <r>
      <rPr>
        <sz val="11"/>
        <rFont val="Calibri"/>
        <family val="2"/>
      </rPr>
      <t>If negative, enter zero</t>
    </r>
  </si>
  <si>
    <r>
      <rPr>
        <sz val="11"/>
        <rFont val="Calibri"/>
        <family val="2"/>
      </rPr>
      <t xml:space="preserve">13.  Adjusted net worth of business and/or farm (Table C4)
</t>
    </r>
    <r>
      <rPr>
        <sz val="11"/>
        <rFont val="Symbol"/>
        <family val="1"/>
      </rPr>
      <t></t>
    </r>
    <r>
      <rPr>
        <sz val="11"/>
        <rFont val="Times New Roman"/>
        <family val="1"/>
      </rPr>
      <t xml:space="preserve">     </t>
    </r>
    <r>
      <rPr>
        <sz val="11"/>
        <rFont val="Calibri"/>
        <family val="2"/>
      </rPr>
      <t>Net worth of business and/or farm multiplied by the applicable adjustment in Table C4.</t>
    </r>
  </si>
  <si>
    <r>
      <rPr>
        <sz val="11"/>
        <rFont val="Calibri"/>
        <family val="2"/>
      </rPr>
      <t>15.  Asset Protection Allowance (APA; Table C5)</t>
    </r>
  </si>
  <si>
    <t>16.  Discretionary Net Worth(Line 14 minus 15)</t>
  </si>
  <si>
    <r>
      <rPr>
        <sz val="11"/>
        <rFont val="Calibri"/>
        <family val="2"/>
      </rPr>
      <t>17.  Asset Conversion Rate (7%)</t>
    </r>
  </si>
  <si>
    <r>
      <rPr>
        <sz val="11"/>
        <rFont val="Calibri"/>
        <family val="2"/>
      </rPr>
      <t xml:space="preserve">18.  Student Contribution from Assets (SCA)
</t>
    </r>
    <r>
      <rPr>
        <sz val="11"/>
        <rFont val="Symbol"/>
        <family val="1"/>
      </rPr>
      <t></t>
    </r>
    <r>
      <rPr>
        <sz val="11"/>
        <rFont val="Times New Roman"/>
        <family val="1"/>
      </rPr>
      <t xml:space="preserve">     </t>
    </r>
    <r>
      <rPr>
        <sz val="11"/>
        <rFont val="Calibri"/>
        <family val="2"/>
      </rPr>
      <t xml:space="preserve">Line 16 times line 17
</t>
    </r>
    <r>
      <rPr>
        <sz val="11"/>
        <rFont val="Symbol"/>
        <family val="1"/>
      </rPr>
      <t></t>
    </r>
    <r>
      <rPr>
        <sz val="11"/>
        <rFont val="Times New Roman"/>
        <family val="1"/>
      </rPr>
      <t xml:space="preserve">     </t>
    </r>
    <r>
      <rPr>
        <sz val="11"/>
        <rFont val="Calibri"/>
        <family val="2"/>
      </rPr>
      <t>If negative, enter zero</t>
    </r>
  </si>
  <si>
    <r>
      <rPr>
        <sz val="11"/>
        <rFont val="Calibri"/>
        <family val="2"/>
      </rPr>
      <t xml:space="preserve">Student Available Income (line 9)
</t>
    </r>
    <r>
      <rPr>
        <sz val="11"/>
        <rFont val="Symbol"/>
        <family val="1"/>
      </rPr>
      <t></t>
    </r>
    <r>
      <rPr>
        <sz val="11"/>
        <rFont val="Times New Roman"/>
        <family val="1"/>
      </rPr>
      <t xml:space="preserve">     </t>
    </r>
    <r>
      <rPr>
        <sz val="11"/>
        <rFont val="Calibri"/>
        <family val="2"/>
      </rPr>
      <t>May be a negative number.</t>
    </r>
  </si>
  <si>
    <r>
      <rPr>
        <sz val="11"/>
        <rFont val="Calibri"/>
        <family val="2"/>
      </rPr>
      <t>Student Contribution from Assets (line 18)</t>
    </r>
  </si>
  <si>
    <r>
      <rPr>
        <sz val="11"/>
        <rFont val="Calibri"/>
        <family val="2"/>
      </rPr>
      <t xml:space="preserve">19.  Student Adjusted Available Income (AAI; sum of lines 9 and 18)
</t>
    </r>
    <r>
      <rPr>
        <sz val="11"/>
        <rFont val="Symbol"/>
        <family val="1"/>
      </rPr>
      <t></t>
    </r>
    <r>
      <rPr>
        <sz val="11"/>
        <rFont val="Times New Roman"/>
        <family val="1"/>
      </rPr>
      <t xml:space="preserve">     </t>
    </r>
    <r>
      <rPr>
        <sz val="11"/>
        <rFont val="Calibri"/>
        <family val="2"/>
      </rPr>
      <t>May be a negative number</t>
    </r>
  </si>
  <si>
    <r>
      <rPr>
        <sz val="11"/>
        <rFont val="Calibri"/>
        <family val="2"/>
      </rPr>
      <t>20.  Total Student Contribution from AAI (Table C6)</t>
    </r>
  </si>
  <si>
    <r>
      <rPr>
        <sz val="11"/>
        <rFont val="Calibri"/>
        <family val="2"/>
      </rPr>
      <t xml:space="preserve">21.  Student Aid Index (SAI)
</t>
    </r>
    <r>
      <rPr>
        <sz val="11"/>
        <rFont val="Symbol"/>
        <family val="1"/>
      </rPr>
      <t></t>
    </r>
    <r>
      <rPr>
        <sz val="11"/>
        <rFont val="Times New Roman"/>
        <family val="1"/>
      </rPr>
      <t xml:space="preserve">     </t>
    </r>
    <r>
      <rPr>
        <sz val="11"/>
        <rFont val="Calibri"/>
        <family val="2"/>
      </rPr>
      <t xml:space="preserve">If line 20 is positive, SAI = line 20
</t>
    </r>
    <r>
      <rPr>
        <sz val="11"/>
        <rFont val="Symbol"/>
        <family val="1"/>
      </rPr>
      <t></t>
    </r>
    <r>
      <rPr>
        <sz val="11"/>
        <rFont val="Times New Roman"/>
        <family val="1"/>
      </rPr>
      <t xml:space="preserve">     </t>
    </r>
    <r>
      <rPr>
        <sz val="11"/>
        <rFont val="Calibri"/>
        <family val="2"/>
      </rPr>
      <t xml:space="preserve">If line 20 is negative, and &lt; -1,500, adjust to -1,500 (e.g., If negative 2,000 set to -1,500)
</t>
    </r>
    <r>
      <rPr>
        <sz val="11"/>
        <rFont val="Symbol"/>
        <family val="1"/>
      </rPr>
      <t></t>
    </r>
    <r>
      <rPr>
        <sz val="11"/>
        <rFont val="Times New Roman"/>
        <family val="1"/>
      </rPr>
      <t xml:space="preserve">     </t>
    </r>
    <r>
      <rPr>
        <sz val="11"/>
        <rFont val="Calibri"/>
        <family val="2"/>
      </rPr>
      <t>If line 20 is negative, and &gt;= -1,500, do not adjust (e.g., If -1,000 leave as - 1,000)</t>
    </r>
  </si>
  <si>
    <r>
      <rPr>
        <i/>
        <sz val="14"/>
        <rFont val="Calibri"/>
        <family val="2"/>
      </rPr>
      <t xml:space="preserve">Supplementary Tables for Formula C – Independent Students with Dependent(s) Other than a Spouse
</t>
    </r>
    <r>
      <rPr>
        <sz val="12"/>
        <rFont val="Calibri Light"/>
        <family val="2"/>
      </rPr>
      <t>Table C1: Payroll Tax Allowance</t>
    </r>
  </si>
  <si>
    <r>
      <rPr>
        <sz val="11"/>
        <rFont val="Calibri"/>
        <family val="2"/>
      </rPr>
      <t xml:space="preserve">If Student filed as Not Married (e.g., single, head of household, or qualifying widow(er)):
</t>
    </r>
    <r>
      <rPr>
        <sz val="10"/>
        <rFont val="Symbol"/>
        <family val="1"/>
      </rPr>
      <t></t>
    </r>
    <r>
      <rPr>
        <sz val="10"/>
        <rFont val="Times New Roman"/>
        <family val="1"/>
      </rPr>
      <t xml:space="preserve">     </t>
    </r>
    <r>
      <rPr>
        <sz val="11"/>
        <rFont val="Calibri"/>
        <family val="2"/>
      </rPr>
      <t xml:space="preserve">1.45% of student earned income up to $200,000, (+) plus
</t>
    </r>
    <r>
      <rPr>
        <sz val="10"/>
        <rFont val="Symbol"/>
        <family val="1"/>
      </rPr>
      <t></t>
    </r>
    <r>
      <rPr>
        <sz val="10"/>
        <rFont val="Times New Roman"/>
        <family val="1"/>
      </rPr>
      <t xml:space="preserve">     </t>
    </r>
    <r>
      <rPr>
        <sz val="11"/>
        <rFont val="Calibri"/>
        <family val="2"/>
      </rPr>
      <t xml:space="preserve">2.35% of student earned income over $200,000 If Student filed as Married-Filed Joint Return (MFJ):
</t>
    </r>
    <r>
      <rPr>
        <sz val="10"/>
        <rFont val="Symbol"/>
        <family val="1"/>
      </rPr>
      <t></t>
    </r>
    <r>
      <rPr>
        <sz val="10"/>
        <rFont val="Times New Roman"/>
        <family val="1"/>
      </rPr>
      <t xml:space="preserve">     </t>
    </r>
    <r>
      <rPr>
        <sz val="11"/>
        <rFont val="Calibri"/>
        <family val="2"/>
      </rPr>
      <t xml:space="preserve">1.45% of student and student spouse’s combined earned income up
</t>
    </r>
    <r>
      <rPr>
        <sz val="11"/>
        <rFont val="Calibri"/>
        <family val="2"/>
      </rPr>
      <t xml:space="preserve">to $250,000, (+) plus
</t>
    </r>
    <r>
      <rPr>
        <sz val="10"/>
        <rFont val="Symbol"/>
        <family val="1"/>
      </rPr>
      <t></t>
    </r>
    <r>
      <rPr>
        <sz val="10"/>
        <rFont val="Times New Roman"/>
        <family val="1"/>
      </rPr>
      <t xml:space="preserve">     </t>
    </r>
    <r>
      <rPr>
        <sz val="11"/>
        <rFont val="Calibri"/>
        <family val="2"/>
      </rPr>
      <t xml:space="preserve">2.35% of student and student spouse’s combined earned income
</t>
    </r>
    <r>
      <rPr>
        <sz val="11"/>
        <rFont val="Calibri"/>
        <family val="2"/>
      </rPr>
      <t xml:space="preserve">over $250,000
</t>
    </r>
    <r>
      <rPr>
        <sz val="11"/>
        <rFont val="Calibri"/>
        <family val="2"/>
      </rPr>
      <t xml:space="preserve">If Student filed as Married-Filed Separate Return (MFS):
</t>
    </r>
    <r>
      <rPr>
        <sz val="10"/>
        <rFont val="Symbol"/>
        <family val="1"/>
      </rPr>
      <t></t>
    </r>
    <r>
      <rPr>
        <sz val="10"/>
        <rFont val="Times New Roman"/>
        <family val="1"/>
      </rPr>
      <t xml:space="preserve">     </t>
    </r>
    <r>
      <rPr>
        <sz val="11"/>
        <rFont val="Calibri"/>
        <family val="2"/>
      </rPr>
      <t xml:space="preserve">1.45% of student earned income up to $125,000, (+) plus
</t>
    </r>
    <r>
      <rPr>
        <sz val="10"/>
        <rFont val="Symbol"/>
        <family val="1"/>
      </rPr>
      <t></t>
    </r>
    <r>
      <rPr>
        <sz val="10"/>
        <rFont val="Times New Roman"/>
        <family val="1"/>
      </rPr>
      <t xml:space="preserve">     </t>
    </r>
    <r>
      <rPr>
        <sz val="11"/>
        <rFont val="Calibri"/>
        <family val="2"/>
      </rPr>
      <t xml:space="preserve">1.45% of student spouse’s earned income up to $125,000, (+) plus
</t>
    </r>
    <r>
      <rPr>
        <sz val="10"/>
        <rFont val="Symbol"/>
        <family val="1"/>
      </rPr>
      <t></t>
    </r>
    <r>
      <rPr>
        <sz val="10"/>
        <rFont val="Times New Roman"/>
        <family val="1"/>
      </rPr>
      <t xml:space="preserve">     </t>
    </r>
    <r>
      <rPr>
        <sz val="11"/>
        <rFont val="Calibri"/>
        <family val="2"/>
      </rPr>
      <t xml:space="preserve">2.35% of student earned income over $125,000 (+) plus
</t>
    </r>
    <r>
      <rPr>
        <sz val="10"/>
        <rFont val="Symbol"/>
        <family val="1"/>
      </rPr>
      <t></t>
    </r>
    <r>
      <rPr>
        <sz val="10"/>
        <rFont val="Times New Roman"/>
        <family val="1"/>
      </rPr>
      <t xml:space="preserve">     </t>
    </r>
    <r>
      <rPr>
        <sz val="11"/>
        <rFont val="Calibri"/>
        <family val="2"/>
      </rPr>
      <t>2.35% of student spouse’s earned income over $125,000</t>
    </r>
  </si>
  <si>
    <t>For independent students without a spouse or those who only report a single tax return, 6.2% of total earned income up to Contributions and
Benefit Base of $168,600 for Tax Year 2024. If student’s total earned income
exceeds $168,600, then input $10,453*.
For those reporting both student and student spouse income or who are married and filed a joint return, 6.2% of total student and student spouse earned income up to Contributions and Benefit Base of $337,200 for Tax Year 2024. If the student and student spouse total earned income exceeds
$337,200 then input $20,906*.</t>
  </si>
  <si>
    <r>
      <rPr>
        <sz val="12"/>
        <rFont val="Calibri Light"/>
        <family val="2"/>
      </rPr>
      <t>Table C2. Income Protection Allowance – Married with Dependents</t>
    </r>
  </si>
  <si>
    <r>
      <rPr>
        <b/>
        <sz val="11"/>
        <rFont val="Calibri"/>
        <family val="2"/>
      </rPr>
      <t>Family Size (Including Student)</t>
    </r>
  </si>
  <si>
    <t>Married Income Protection Allowance Amount</t>
  </si>
  <si>
    <t>Not Married Income Protection Allowance Amount</t>
  </si>
  <si>
    <r>
      <rPr>
        <sz val="11"/>
        <rFont val="Calibri"/>
        <family val="2"/>
      </rPr>
      <t xml:space="preserve">Note: For each additional household member, add $11,110.
</t>
    </r>
    <r>
      <rPr>
        <sz val="12"/>
        <rFont val="Calibri Light"/>
        <family val="2"/>
      </rPr>
      <t>Table C3. Income Protection Allowance – Single with Dependents</t>
    </r>
  </si>
  <si>
    <r>
      <rPr>
        <b/>
        <sz val="11"/>
        <rFont val="Calibri"/>
        <family val="2"/>
      </rPr>
      <t>Family Size (Including student)</t>
    </r>
  </si>
  <si>
    <r>
      <rPr>
        <sz val="11"/>
        <rFont val="Calibri"/>
        <family val="2"/>
      </rPr>
      <t xml:space="preserve">Note: For each additional household member, add $13,180.
</t>
    </r>
    <r>
      <rPr>
        <sz val="12"/>
        <rFont val="Calibri Light"/>
        <family val="2"/>
      </rPr>
      <t>Table C4. Business/Farm Net Worth Adjustment</t>
    </r>
  </si>
  <si>
    <t>Less than $1</t>
  </si>
  <si>
    <t>40% of net worth of business/farm</t>
  </si>
  <si>
    <r>
      <rPr>
        <sz val="12"/>
        <rFont val="Calibri Light"/>
        <family val="2"/>
      </rPr>
      <t>Table C5: Asset Protection Allowance</t>
    </r>
  </si>
  <si>
    <t>Student's AAI</t>
  </si>
  <si>
    <r>
      <rPr>
        <b/>
        <sz val="11"/>
        <rFont val="Calibri"/>
        <family val="2"/>
      </rPr>
      <t xml:space="preserve">Age of student
</t>
    </r>
    <r>
      <rPr>
        <b/>
        <sz val="11"/>
        <rFont val="Calibri"/>
        <family val="2"/>
      </rPr>
      <t>as of 12/31/2023</t>
    </r>
  </si>
  <si>
    <r>
      <rPr>
        <b/>
        <sz val="11"/>
        <rFont val="Calibri"/>
        <family val="2"/>
      </rPr>
      <t xml:space="preserve">Allowance for
</t>
    </r>
    <r>
      <rPr>
        <b/>
        <sz val="11"/>
        <rFont val="Calibri"/>
        <family val="2"/>
      </rPr>
      <t>married student</t>
    </r>
  </si>
  <si>
    <r>
      <rPr>
        <b/>
        <sz val="11"/>
        <rFont val="Calibri"/>
        <family val="2"/>
      </rPr>
      <t xml:space="preserve">Allowance for
</t>
    </r>
    <r>
      <rPr>
        <b/>
        <sz val="11"/>
        <rFont val="Calibri"/>
        <family val="2"/>
      </rPr>
      <t>unmarried student</t>
    </r>
  </si>
  <si>
    <t>Student contribution</t>
  </si>
  <si>
    <r>
      <rPr>
        <sz val="12"/>
        <rFont val="Calibri Light"/>
        <family val="2"/>
      </rPr>
      <t>Table C6. Assessment from Adjusted Available Income</t>
    </r>
  </si>
  <si>
    <r>
      <rPr>
        <b/>
        <sz val="11"/>
        <rFont val="Calibri"/>
        <family val="2"/>
      </rPr>
      <t xml:space="preserve">If the AAI is </t>
    </r>
    <r>
      <rPr>
        <b/>
        <u/>
        <sz val="11"/>
        <rFont val="Calibri"/>
        <family val="2"/>
      </rPr>
      <t>              </t>
    </r>
  </si>
  <si>
    <r>
      <rPr>
        <b/>
        <sz val="11"/>
        <rFont val="Calibri"/>
        <family val="2"/>
      </rPr>
      <t xml:space="preserve">Then the contribution from AAI is </t>
    </r>
    <r>
      <rPr>
        <b/>
        <u/>
        <sz val="11"/>
        <rFont val="Calibri"/>
        <family val="2"/>
      </rPr>
      <t>          </t>
    </r>
  </si>
  <si>
    <r>
      <rPr>
        <sz val="11"/>
        <rFont val="Calibri"/>
        <family val="2"/>
      </rPr>
      <t>Less than -$6,820</t>
    </r>
  </si>
  <si>
    <r>
      <rPr>
        <sz val="11"/>
        <rFont val="Calibri"/>
        <family val="2"/>
      </rPr>
      <t>-$6,820 to $17,400</t>
    </r>
  </si>
  <si>
    <r>
      <rPr>
        <sz val="11"/>
        <rFont val="Calibri"/>
        <family val="2"/>
      </rPr>
      <t>$17,401 to $21,800</t>
    </r>
  </si>
  <si>
    <r>
      <rPr>
        <sz val="11"/>
        <rFont val="Calibri"/>
        <family val="2"/>
      </rPr>
      <t xml:space="preserve">$3,828 </t>
    </r>
    <r>
      <rPr>
        <b/>
        <sz val="11"/>
        <rFont val="Calibri"/>
        <family val="2"/>
      </rPr>
      <t xml:space="preserve">+ </t>
    </r>
    <r>
      <rPr>
        <sz val="11"/>
        <rFont val="Calibri"/>
        <family val="2"/>
      </rPr>
      <t>25% of AAI over $17,400</t>
    </r>
  </si>
  <si>
    <r>
      <rPr>
        <sz val="11"/>
        <rFont val="Calibri"/>
        <family val="2"/>
      </rPr>
      <t>$21,801 to $26,200</t>
    </r>
  </si>
  <si>
    <r>
      <rPr>
        <sz val="11"/>
        <rFont val="Calibri"/>
        <family val="2"/>
      </rPr>
      <t xml:space="preserve">$4,928 </t>
    </r>
    <r>
      <rPr>
        <b/>
        <sz val="11"/>
        <rFont val="Calibri"/>
        <family val="2"/>
      </rPr>
      <t xml:space="preserve">+ </t>
    </r>
    <r>
      <rPr>
        <sz val="11"/>
        <rFont val="Calibri"/>
        <family val="2"/>
      </rPr>
      <t>29% of AAI over $21,800</t>
    </r>
  </si>
  <si>
    <r>
      <rPr>
        <sz val="11"/>
        <rFont val="Calibri"/>
        <family val="2"/>
      </rPr>
      <t>$26,201 to $30,700</t>
    </r>
  </si>
  <si>
    <r>
      <rPr>
        <sz val="11"/>
        <rFont val="Calibri"/>
        <family val="2"/>
      </rPr>
      <t xml:space="preserve">$6,204 </t>
    </r>
    <r>
      <rPr>
        <b/>
        <sz val="11"/>
        <rFont val="Calibri"/>
        <family val="2"/>
      </rPr>
      <t xml:space="preserve">+ </t>
    </r>
    <r>
      <rPr>
        <sz val="11"/>
        <rFont val="Calibri"/>
        <family val="2"/>
      </rPr>
      <t>34% of AAI over $26,200</t>
    </r>
  </si>
  <si>
    <r>
      <rPr>
        <sz val="11"/>
        <rFont val="Calibri"/>
        <family val="2"/>
      </rPr>
      <t>$30,701 to $35,100</t>
    </r>
  </si>
  <si>
    <r>
      <rPr>
        <sz val="11"/>
        <rFont val="Calibri"/>
        <family val="2"/>
      </rPr>
      <t xml:space="preserve">$7,734 </t>
    </r>
    <r>
      <rPr>
        <b/>
        <sz val="11"/>
        <rFont val="Calibri"/>
        <family val="2"/>
      </rPr>
      <t xml:space="preserve">+ </t>
    </r>
    <r>
      <rPr>
        <sz val="11"/>
        <rFont val="Calibri"/>
        <family val="2"/>
      </rPr>
      <t>40% of AAI over $30,700</t>
    </r>
  </si>
  <si>
    <r>
      <rPr>
        <sz val="11"/>
        <rFont val="Calibri"/>
        <family val="2"/>
      </rPr>
      <t>$35,101 or more</t>
    </r>
  </si>
  <si>
    <r>
      <rPr>
        <sz val="11"/>
        <rFont val="Calibri"/>
        <family val="2"/>
      </rPr>
      <t xml:space="preserve">$9,494 </t>
    </r>
    <r>
      <rPr>
        <b/>
        <sz val="11"/>
        <rFont val="Calibri"/>
        <family val="2"/>
      </rPr>
      <t xml:space="preserve">+ </t>
    </r>
    <r>
      <rPr>
        <sz val="11"/>
        <rFont val="Calibri"/>
        <family val="2"/>
      </rPr>
      <t>47% of AAI over $35,100</t>
    </r>
  </si>
  <si>
    <r>
      <rPr>
        <i/>
        <sz val="14"/>
        <rFont val="Calibri"/>
        <family val="2"/>
      </rPr>
      <t xml:space="preserve">Step 3 – Minimum – Pell Grant Eligibility Determination
</t>
    </r>
    <r>
      <rPr>
        <sz val="11"/>
        <rFont val="Calibri"/>
        <family val="2"/>
      </rPr>
      <t xml:space="preserve">Under HEA Sec. 401(b)(1)(C), a student is eligible for a Minimum Pell Grant if any of the following is true:
</t>
    </r>
    <r>
      <rPr>
        <sz val="12"/>
        <rFont val="Calibri Light"/>
        <family val="2"/>
      </rPr>
      <t xml:space="preserve">Dependent Student
</t>
    </r>
    <r>
      <rPr>
        <sz val="11"/>
        <rFont val="Calibri"/>
        <family val="2"/>
      </rPr>
      <t xml:space="preserve">1.    The student’s parent </t>
    </r>
    <r>
      <rPr>
        <b/>
        <sz val="11"/>
        <rFont val="Calibri"/>
        <family val="2"/>
      </rPr>
      <t xml:space="preserve">is </t>
    </r>
    <r>
      <rPr>
        <sz val="11"/>
        <rFont val="Calibri"/>
        <family val="2"/>
      </rPr>
      <t xml:space="preserve">a single parent and has an AGI less than or equal to 325% of the poverty
</t>
    </r>
    <r>
      <rPr>
        <sz val="11"/>
        <rFont val="Calibri"/>
        <family val="2"/>
      </rPr>
      <t xml:space="preserve">guideline for the applicant’s family size and state of residence; or
</t>
    </r>
    <r>
      <rPr>
        <sz val="11"/>
        <rFont val="Calibri"/>
        <family val="2"/>
      </rPr>
      <t xml:space="preserve">2.    The student’s parent </t>
    </r>
    <r>
      <rPr>
        <b/>
        <sz val="11"/>
        <rFont val="Calibri"/>
        <family val="2"/>
      </rPr>
      <t xml:space="preserve">is not </t>
    </r>
    <r>
      <rPr>
        <sz val="11"/>
        <rFont val="Calibri"/>
        <family val="2"/>
      </rPr>
      <t xml:space="preserve">a single parent and has an AGI less than or equal to 275% of the
</t>
    </r>
    <r>
      <rPr>
        <sz val="11"/>
        <rFont val="Calibri"/>
        <family val="2"/>
      </rPr>
      <t xml:space="preserve">poverty guideline for the applicant’s family size and state of residence.
</t>
    </r>
    <r>
      <rPr>
        <sz val="12"/>
        <rFont val="Calibri Light"/>
        <family val="2"/>
      </rPr>
      <t xml:space="preserve">Independent Student
</t>
    </r>
    <r>
      <rPr>
        <sz val="11"/>
        <rFont val="Calibri"/>
        <family val="2"/>
      </rPr>
      <t xml:space="preserve">1.    The student </t>
    </r>
    <r>
      <rPr>
        <b/>
        <sz val="11"/>
        <rFont val="Calibri"/>
        <family val="2"/>
      </rPr>
      <t xml:space="preserve">is </t>
    </r>
    <r>
      <rPr>
        <sz val="11"/>
        <rFont val="Calibri"/>
        <family val="2"/>
      </rPr>
      <t xml:space="preserve">a single parent, and the AGI is less than or equal to 400% of the poverty line; or
</t>
    </r>
    <r>
      <rPr>
        <sz val="11"/>
        <rFont val="Calibri"/>
        <family val="2"/>
      </rPr>
      <t xml:space="preserve">2.    The student </t>
    </r>
    <r>
      <rPr>
        <b/>
        <sz val="11"/>
        <rFont val="Calibri"/>
        <family val="2"/>
      </rPr>
      <t xml:space="preserve">is </t>
    </r>
    <r>
      <rPr>
        <sz val="11"/>
        <rFont val="Calibri"/>
        <family val="2"/>
      </rPr>
      <t xml:space="preserve">a parent and </t>
    </r>
    <r>
      <rPr>
        <b/>
        <sz val="11"/>
        <rFont val="Calibri"/>
        <family val="2"/>
      </rPr>
      <t xml:space="preserve">is not </t>
    </r>
    <r>
      <rPr>
        <sz val="11"/>
        <rFont val="Calibri"/>
        <family val="2"/>
      </rPr>
      <t xml:space="preserve">a single parent, and the AGI is less than or equal to 350% of the of the poverty guideline for the applicant’s family size and state of residence; or
</t>
    </r>
    <r>
      <rPr>
        <sz val="11"/>
        <rFont val="Calibri"/>
        <family val="2"/>
      </rPr>
      <t xml:space="preserve">3.    The student </t>
    </r>
    <r>
      <rPr>
        <b/>
        <sz val="11"/>
        <rFont val="Calibri"/>
        <family val="2"/>
      </rPr>
      <t xml:space="preserve">is not </t>
    </r>
    <r>
      <rPr>
        <sz val="11"/>
        <rFont val="Calibri"/>
        <family val="2"/>
      </rPr>
      <t xml:space="preserve">a parent, and the student’s (and spouse’s if applicable) AGI is less than or equal to 275% of the of the poverty guideline for the applicant’s family size and state of residence.
</t>
    </r>
    <r>
      <rPr>
        <sz val="12"/>
        <rFont val="Calibri Light"/>
        <family val="2"/>
      </rPr>
      <t xml:space="preserve">SAI for Minimum Pell Grant Recipients
</t>
    </r>
    <r>
      <rPr>
        <sz val="11"/>
        <rFont val="Calibri"/>
        <family val="2"/>
      </rPr>
      <t xml:space="preserve">Students eligible for a Minimum Pell Grant under this guidance retain the SAI calculated in Step 2. All other aid should be packaged using the calculated SAI.
</t>
    </r>
    <r>
      <rPr>
        <sz val="12"/>
        <rFont val="Calibri Light"/>
        <family val="2"/>
      </rPr>
      <t xml:space="preserve">Components Necessary to Determine Minimum Pell Grant Eligibility
</t>
    </r>
    <r>
      <rPr>
        <sz val="11"/>
        <rFont val="Calibri"/>
        <family val="2"/>
      </rPr>
      <t xml:space="preserve">The data elements necessary to determine eligibility for a Minimum Pell Grant are the same as the data elements used to determine eligibility for a Maximum Pell Grant (poverty guidelines, state of residence, and family size). Refer to those sections under </t>
    </r>
    <r>
      <rPr>
        <i/>
        <sz val="11"/>
        <rFont val="Calibri"/>
        <family val="2"/>
      </rPr>
      <t xml:space="preserve">Step 1 – Maximum Pell Grant Eligibility Determination </t>
    </r>
    <r>
      <rPr>
        <sz val="11"/>
        <rFont val="Calibri"/>
        <family val="2"/>
      </rPr>
      <t xml:space="preserve">for
</t>
    </r>
    <r>
      <rPr>
        <sz val="11"/>
        <rFont val="Calibri"/>
        <family val="2"/>
      </rPr>
      <t>additional guidance.</t>
    </r>
  </si>
  <si>
    <t>48 States &amp; DC</t>
  </si>
  <si>
    <t>Alaska</t>
  </si>
  <si>
    <t>Hawaii</t>
  </si>
  <si>
    <t>Persons in family/household</t>
  </si>
  <si>
    <t>Poverty guideline</t>
  </si>
  <si>
    <t># Of Parent's</t>
  </si>
  <si>
    <t>Dependent and Eligible for Max Pell?</t>
  </si>
  <si>
    <t>Dependent and Eligible for Min Pell?</t>
  </si>
  <si>
    <t>175% of Poverty level by HH size</t>
  </si>
  <si>
    <t>225% of Poverty level by HH size</t>
  </si>
  <si>
    <t>275% of Poverty level by HH size</t>
  </si>
  <si>
    <t>325% of Poverty level by HH size</t>
  </si>
  <si>
    <t>Student Single/Not Single</t>
  </si>
  <si>
    <t>Independent and Eligible for Max Pell?</t>
  </si>
  <si>
    <t>Independent and Eligible for Min Pell?</t>
  </si>
  <si>
    <t>350% of Poverty level by HH size</t>
  </si>
  <si>
    <t>400% of Poverty level by HH size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</si>
</sst>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44" formatCode="_(&quot;$&quot;* #,##0.00_);_(&quot;$&quot;* \(#,##0.00\);_(&quot;$&quot;* &quot;-&quot;??_);_(@_)"/>
    <numFmt numFmtId="43" formatCode="_(* #,##0.00_);_(* \(#,##0.00\);_(* &quot;-&quot;??_);_(@_)"/>
    <numFmt numFmtId="164" formatCode="\$#,##0"/>
    <numFmt numFmtId="165" formatCode="\$0"/>
    <numFmt numFmtId="166" formatCode="_(&quot;$&quot;* #,##0_);_(&quot;$&quot;* \(#,##0\);_(&quot;$&quot;* &quot;-&quot;??_);_(@_)"/>
    <numFmt numFmtId="167" formatCode="0.0%"/>
  </numFmts>
  <fonts count="23" x14ac:knownFonts="1">
    <font>
      <sz val="10"/>
      <color rgb="FF000000"/>
      <name val="Times New Roman"/>
      <charset val="204"/>
    </font>
    <font>
      <b/>
      <sz val="11"/>
      <name val="Calibri"/>
      <family val="2"/>
    </font>
    <font>
      <sz val="11"/>
      <name val="Calibri"/>
      <family val="2"/>
    </font>
    <font>
      <sz val="12"/>
      <name val="Calibri Light"/>
      <family val="2"/>
    </font>
    <font>
      <sz val="11"/>
      <color rgb="FF000000"/>
      <name val="Calibri"/>
      <family val="2"/>
    </font>
    <font>
      <i/>
      <sz val="14"/>
      <name val="Calibri"/>
      <family val="2"/>
    </font>
    <font>
      <sz val="11"/>
      <name val="Symbol"/>
      <family val="1"/>
    </font>
    <font>
      <sz val="11"/>
      <name val="Times New Roman"/>
      <family val="1"/>
    </font>
    <font>
      <i/>
      <sz val="11"/>
      <name val="Calibri"/>
      <family val="2"/>
    </font>
    <font>
      <u/>
      <sz val="11"/>
      <color rgb="FF0462C1"/>
      <name val="Calibri"/>
      <family val="2"/>
    </font>
    <font>
      <sz val="11"/>
      <name val="Courier New"/>
      <family val="3"/>
    </font>
    <font>
      <b/>
      <u/>
      <sz val="11"/>
      <name val="Calibri"/>
      <family val="2"/>
    </font>
    <font>
      <u/>
      <sz val="11"/>
      <name val="Times New Roman"/>
      <family val="1"/>
    </font>
    <font>
      <sz val="10"/>
      <name val="Symbol"/>
      <family val="1"/>
    </font>
    <font>
      <sz val="10"/>
      <name val="Times New Roman"/>
      <family val="1"/>
    </font>
    <font>
      <sz val="10"/>
      <color rgb="FF000000"/>
      <name val="Times New Roman"/>
      <family val="1"/>
    </font>
    <font>
      <sz val="11"/>
      <color rgb="FFFF0000"/>
      <name val="Calibri"/>
      <family val="2"/>
    </font>
    <font>
      <sz val="10"/>
      <color rgb="FF000000"/>
      <name val="Times New Roman"/>
      <family val="2"/>
      <charset val="204"/>
    </font>
    <font>
      <b/>
      <sz val="10"/>
      <color rgb="FF000000"/>
      <name val="Times New Roman"/>
      <family val="1"/>
    </font>
    <font>
      <sz val="11"/>
      <name val="Times New Roman"/>
      <family val="2"/>
      <charset val="204"/>
    </font>
    <font>
      <b/>
      <sz val="12"/>
      <color rgb="FF000000"/>
      <name val="Times New Roman"/>
      <family val="1"/>
    </font>
    <font>
      <sz val="10"/>
      <color rgb="FF000000"/>
      <name val="Times New Roman"/>
      <family val="1"/>
    </font>
    <font>
      <sz val="10"/>
      <name val="Times New Roman"/>
      <family val="2"/>
      <charset val="204"/>
    </font>
  </fonts>
  <fills count="14">
    <fill>
      <patternFill patternType="none"/>
    </fill>
    <fill>
      <patternFill patternType="gray125"/>
    </fill>
    <fill>
      <patternFill patternType="solid">
        <fgColor rgb="FFD9D9D9"/>
      </patternFill>
    </fill>
    <fill>
      <patternFill patternType="solid">
        <fgColor rgb="FF000000"/>
      </patternFill>
    </fill>
    <fill>
      <patternFill patternType="solid">
        <fgColor theme="6" tint="0.59999389629810485"/>
        <bgColor indexed="64"/>
      </patternFill>
    </fill>
    <fill>
      <patternFill patternType="solid">
        <fgColor theme="9" tint="0.59999389629810485"/>
        <bgColor indexed="64"/>
      </patternFill>
    </fill>
    <fill>
      <patternFill patternType="solid">
        <fgColor rgb="FFFFFF00"/>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2" tint="-0.249977111117893"/>
        <bgColor indexed="64"/>
      </patternFill>
    </fill>
    <fill>
      <patternFill patternType="solid">
        <fgColor theme="8" tint="0.59999389629810485"/>
        <bgColor indexed="64"/>
      </patternFill>
    </fill>
    <fill>
      <patternFill patternType="solid">
        <fgColor theme="9" tint="0.39997558519241921"/>
        <bgColor indexed="64"/>
      </patternFill>
    </fill>
    <fill>
      <patternFill patternType="solid">
        <fgColor rgb="FF92D050"/>
        <bgColor indexed="64"/>
      </patternFill>
    </fill>
  </fills>
  <borders count="16">
    <border>
      <left/>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bottom style="thin">
        <color rgb="FF000000"/>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medium">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s>
  <cellStyleXfs count="4">
    <xf numFmtId="0" fontId="0" fillId="0" borderId="0"/>
    <xf numFmtId="44" fontId="15" fillId="0" borderId="0" applyFont="0" applyFill="0" applyBorder="0" applyAlignment="0" applyProtection="0"/>
    <xf numFmtId="9" fontId="15" fillId="0" borderId="0" applyFont="0" applyFill="0" applyBorder="0" applyAlignment="0" applyProtection="0"/>
    <xf numFmtId="43" fontId="21" fillId="0" borderId="0" applyFont="0" applyFill="0" applyBorder="0" applyAlignment="0" applyProtection="0"/>
  </cellStyleXfs>
  <cellXfs count="162">
    <xf numFmtId="0" fontId="0" fillId="0" borderId="0" xfId="0" applyAlignment="1">
      <alignment horizontal="left" vertical="top"/>
    </xf>
    <xf numFmtId="0" fontId="0" fillId="0" borderId="0" xfId="0" applyAlignment="1">
      <alignment horizontal="left" vertical="top" wrapText="1" indent="1"/>
    </xf>
    <xf numFmtId="0" fontId="0" fillId="0" borderId="0" xfId="0" applyAlignment="1">
      <alignment horizontal="left" vertical="top" wrapText="1"/>
    </xf>
    <xf numFmtId="0" fontId="1" fillId="0" borderId="1" xfId="0" applyFont="1" applyBorder="1" applyAlignment="1">
      <alignment horizontal="left" vertical="top" wrapText="1"/>
    </xf>
    <xf numFmtId="0" fontId="0" fillId="0" borderId="1" xfId="0" applyBorder="1" applyAlignment="1">
      <alignment horizontal="left" vertical="top" wrapText="1"/>
    </xf>
    <xf numFmtId="0" fontId="2" fillId="0" borderId="1" xfId="0" applyFont="1" applyBorder="1" applyAlignment="1">
      <alignment horizontal="left" vertical="top" wrapText="1" indent="3"/>
    </xf>
    <xf numFmtId="0" fontId="0" fillId="3" borderId="0" xfId="0" applyFill="1" applyAlignment="1">
      <alignment horizontal="left" wrapText="1"/>
    </xf>
    <xf numFmtId="0" fontId="0" fillId="0" borderId="1" xfId="0" applyBorder="1" applyAlignment="1">
      <alignment horizontal="left" wrapText="1"/>
    </xf>
    <xf numFmtId="0" fontId="2" fillId="0" borderId="1" xfId="0" applyFont="1" applyBorder="1" applyAlignment="1">
      <alignment horizontal="center" vertical="top" wrapText="1"/>
    </xf>
    <xf numFmtId="0" fontId="0" fillId="0" borderId="1" xfId="0" applyBorder="1" applyAlignment="1">
      <alignment horizontal="left" vertical="top" wrapText="1" indent="3"/>
    </xf>
    <xf numFmtId="0" fontId="2" fillId="0" borderId="1" xfId="0" applyFont="1" applyBorder="1" applyAlignment="1">
      <alignment horizontal="center" vertical="center" wrapText="1"/>
    </xf>
    <xf numFmtId="0" fontId="0" fillId="0" borderId="1" xfId="0" applyBorder="1" applyAlignment="1">
      <alignment horizontal="left" vertical="center" wrapText="1"/>
    </xf>
    <xf numFmtId="0" fontId="2" fillId="0" borderId="1" xfId="0" applyFont="1" applyBorder="1" applyAlignment="1">
      <alignment horizontal="left" vertical="top" wrapText="1"/>
    </xf>
    <xf numFmtId="0" fontId="2" fillId="0" borderId="1" xfId="0" applyFont="1" applyBorder="1" applyAlignment="1">
      <alignment horizontal="center" wrapText="1"/>
    </xf>
    <xf numFmtId="0" fontId="2" fillId="0" borderId="5" xfId="0" applyFont="1" applyBorder="1" applyAlignment="1">
      <alignment horizontal="center" vertical="top" wrapText="1"/>
    </xf>
    <xf numFmtId="2" fontId="4" fillId="0" borderId="1" xfId="0" applyNumberFormat="1" applyFont="1" applyBorder="1" applyAlignment="1">
      <alignment horizontal="left" vertical="top" shrinkToFit="1"/>
    </xf>
    <xf numFmtId="3" fontId="4" fillId="0" borderId="1" xfId="0" applyNumberFormat="1" applyFont="1" applyBorder="1" applyAlignment="1">
      <alignment horizontal="left" vertical="top" shrinkToFit="1"/>
    </xf>
    <xf numFmtId="0" fontId="2" fillId="0" borderId="5" xfId="0" applyFont="1" applyBorder="1" applyAlignment="1">
      <alignment horizontal="center" wrapText="1"/>
    </xf>
    <xf numFmtId="1" fontId="4" fillId="0" borderId="1" xfId="0" applyNumberFormat="1" applyFont="1" applyBorder="1" applyAlignment="1">
      <alignment horizontal="left" vertical="top" shrinkToFit="1"/>
    </xf>
    <xf numFmtId="164" fontId="4" fillId="0" borderId="1" xfId="0" applyNumberFormat="1" applyFont="1" applyBorder="1" applyAlignment="1">
      <alignment horizontal="left" vertical="top" shrinkToFit="1"/>
    </xf>
    <xf numFmtId="165" fontId="4" fillId="0" borderId="1" xfId="0" applyNumberFormat="1" applyFont="1" applyBorder="1" applyAlignment="1">
      <alignment horizontal="left" vertical="top" shrinkToFit="1"/>
    </xf>
    <xf numFmtId="0" fontId="0" fillId="3" borderId="0" xfId="0" applyFill="1" applyAlignment="1">
      <alignment horizontal="left" vertical="center" wrapText="1"/>
    </xf>
    <xf numFmtId="44" fontId="0" fillId="0" borderId="0" xfId="1" applyFont="1" applyAlignment="1">
      <alignment horizontal="left" vertical="top"/>
    </xf>
    <xf numFmtId="44" fontId="0" fillId="0" borderId="0" xfId="0" applyNumberFormat="1" applyAlignment="1">
      <alignment horizontal="left" vertical="top"/>
    </xf>
    <xf numFmtId="0" fontId="3" fillId="0" borderId="0" xfId="0" applyFont="1" applyAlignment="1">
      <alignment horizontal="left" vertical="top" wrapText="1" indent="1"/>
    </xf>
    <xf numFmtId="166" fontId="0" fillId="0" borderId="0" xfId="1" applyNumberFormat="1" applyFont="1" applyAlignment="1">
      <alignment horizontal="left" vertical="top"/>
    </xf>
    <xf numFmtId="0" fontId="0" fillId="4" borderId="0" xfId="0" applyFill="1" applyAlignment="1">
      <alignment horizontal="left" vertical="top"/>
    </xf>
    <xf numFmtId="44" fontId="0" fillId="4" borderId="0" xfId="1" applyFont="1" applyFill="1" applyAlignment="1">
      <alignment horizontal="left" vertical="top"/>
    </xf>
    <xf numFmtId="0" fontId="0" fillId="5" borderId="0" xfId="0" applyFill="1" applyAlignment="1">
      <alignment horizontal="left" vertical="top"/>
    </xf>
    <xf numFmtId="10" fontId="0" fillId="5" borderId="0" xfId="0" applyNumberFormat="1" applyFill="1" applyAlignment="1">
      <alignment horizontal="left" vertical="top"/>
    </xf>
    <xf numFmtId="44" fontId="0" fillId="0" borderId="1" xfId="0" applyNumberFormat="1" applyBorder="1" applyAlignment="1">
      <alignment horizontal="left" vertical="center" wrapText="1"/>
    </xf>
    <xf numFmtId="0" fontId="1" fillId="0" borderId="6" xfId="0" applyFont="1" applyBorder="1" applyAlignment="1">
      <alignment vertical="top" wrapText="1"/>
    </xf>
    <xf numFmtId="1" fontId="4" fillId="0" borderId="6" xfId="0" applyNumberFormat="1" applyFont="1" applyBorder="1" applyAlignment="1">
      <alignment vertical="top" shrinkToFit="1"/>
    </xf>
    <xf numFmtId="164" fontId="4" fillId="0" borderId="6" xfId="0" applyNumberFormat="1" applyFont="1" applyBorder="1" applyAlignment="1">
      <alignment vertical="top" shrinkToFit="1"/>
    </xf>
    <xf numFmtId="9" fontId="0" fillId="0" borderId="0" xfId="0" applyNumberFormat="1" applyAlignment="1">
      <alignment horizontal="left" vertical="top"/>
    </xf>
    <xf numFmtId="9" fontId="0" fillId="6" borderId="0" xfId="0" applyNumberFormat="1" applyFill="1" applyAlignment="1">
      <alignment horizontal="left" vertical="top"/>
    </xf>
    <xf numFmtId="0" fontId="0" fillId="6" borderId="0" xfId="0" applyFill="1" applyAlignment="1">
      <alignment horizontal="left" vertical="top"/>
    </xf>
    <xf numFmtId="44" fontId="0" fillId="6" borderId="0" xfId="1" applyFont="1" applyFill="1" applyAlignment="1">
      <alignment horizontal="left" vertical="top"/>
    </xf>
    <xf numFmtId="10" fontId="0" fillId="6" borderId="0" xfId="0" applyNumberFormat="1" applyFill="1" applyAlignment="1">
      <alignment horizontal="left" vertical="top"/>
    </xf>
    <xf numFmtId="164" fontId="0" fillId="6" borderId="6" xfId="0" applyNumberFormat="1" applyFill="1" applyBorder="1" applyAlignment="1">
      <alignment horizontal="left" vertical="top"/>
    </xf>
    <xf numFmtId="44" fontId="0" fillId="0" borderId="1" xfId="1" applyFont="1" applyBorder="1" applyAlignment="1">
      <alignment horizontal="left" wrapText="1"/>
    </xf>
    <xf numFmtId="44" fontId="0" fillId="3" borderId="0" xfId="1" applyFont="1" applyFill="1" applyAlignment="1">
      <alignment horizontal="left" wrapText="1"/>
    </xf>
    <xf numFmtId="44" fontId="0" fillId="0" borderId="1" xfId="1" applyFont="1" applyBorder="1" applyAlignment="1">
      <alignment horizontal="left" vertical="center" wrapText="1"/>
    </xf>
    <xf numFmtId="44" fontId="0" fillId="0" borderId="1" xfId="1" applyFont="1" applyBorder="1" applyAlignment="1">
      <alignment horizontal="left" vertical="top" wrapText="1"/>
    </xf>
    <xf numFmtId="9" fontId="4" fillId="0" borderId="1" xfId="2" applyFont="1" applyBorder="1" applyAlignment="1">
      <alignment horizontal="left" vertical="top" shrinkToFit="1"/>
    </xf>
    <xf numFmtId="14" fontId="0" fillId="0" borderId="0" xfId="0" applyNumberFormat="1" applyAlignment="1">
      <alignment horizontal="left" vertical="top"/>
    </xf>
    <xf numFmtId="2" fontId="0" fillId="0" borderId="0" xfId="0" applyNumberFormat="1" applyAlignment="1">
      <alignment horizontal="left" vertical="top"/>
    </xf>
    <xf numFmtId="1" fontId="0" fillId="0" borderId="0" xfId="0" applyNumberFormat="1" applyAlignment="1">
      <alignment horizontal="left" vertical="top"/>
    </xf>
    <xf numFmtId="44" fontId="0" fillId="0" borderId="1" xfId="0" applyNumberFormat="1" applyBorder="1" applyAlignment="1">
      <alignment horizontal="left" wrapText="1"/>
    </xf>
    <xf numFmtId="0" fontId="0" fillId="0" borderId="0" xfId="0" applyAlignment="1">
      <alignment vertical="top" wrapText="1"/>
    </xf>
    <xf numFmtId="0" fontId="0" fillId="0" borderId="5" xfId="0" applyBorder="1" applyAlignment="1">
      <alignment horizontal="left" vertical="top" wrapText="1"/>
    </xf>
    <xf numFmtId="44" fontId="0" fillId="5" borderId="0" xfId="1" applyFont="1" applyFill="1" applyAlignment="1">
      <alignment horizontal="left" vertical="top"/>
    </xf>
    <xf numFmtId="44" fontId="0" fillId="0" borderId="1" xfId="0" applyNumberFormat="1" applyBorder="1" applyAlignment="1">
      <alignment horizontal="left" vertical="top" wrapText="1"/>
    </xf>
    <xf numFmtId="167" fontId="0" fillId="0" borderId="0" xfId="2" applyNumberFormat="1" applyFont="1" applyAlignment="1">
      <alignment horizontal="left" vertical="top"/>
    </xf>
    <xf numFmtId="166" fontId="0" fillId="0" borderId="1" xfId="1" applyNumberFormat="1" applyFont="1" applyBorder="1" applyAlignment="1">
      <alignment horizontal="left" vertical="top" wrapText="1"/>
    </xf>
    <xf numFmtId="166" fontId="0" fillId="0" borderId="1" xfId="1" applyNumberFormat="1" applyFont="1" applyBorder="1" applyAlignment="1">
      <alignment horizontal="left" vertical="center" wrapText="1"/>
    </xf>
    <xf numFmtId="166" fontId="0" fillId="0" borderId="1" xfId="0" applyNumberFormat="1" applyBorder="1" applyAlignment="1">
      <alignment horizontal="left" wrapText="1"/>
    </xf>
    <xf numFmtId="166" fontId="0" fillId="0" borderId="1" xfId="0" applyNumberFormat="1" applyBorder="1" applyAlignment="1">
      <alignment horizontal="left" vertical="center" wrapText="1"/>
    </xf>
    <xf numFmtId="166" fontId="0" fillId="0" borderId="1" xfId="0" applyNumberFormat="1" applyBorder="1" applyAlignment="1">
      <alignment horizontal="left" vertical="top" wrapText="1"/>
    </xf>
    <xf numFmtId="166" fontId="0" fillId="0" borderId="1" xfId="1" applyNumberFormat="1" applyFont="1" applyBorder="1" applyAlignment="1">
      <alignment horizontal="left" wrapText="1"/>
    </xf>
    <xf numFmtId="0" fontId="1" fillId="0" borderId="6" xfId="0" applyFont="1" applyBorder="1" applyAlignment="1">
      <alignment horizontal="left" vertical="top" wrapText="1"/>
    </xf>
    <xf numFmtId="0" fontId="0" fillId="0" borderId="6" xfId="0" applyBorder="1" applyAlignment="1">
      <alignment horizontal="left" vertical="top"/>
    </xf>
    <xf numFmtId="164" fontId="4" fillId="0" borderId="6" xfId="0" applyNumberFormat="1" applyFont="1" applyBorder="1" applyAlignment="1">
      <alignment horizontal="left" vertical="top" shrinkToFit="1"/>
    </xf>
    <xf numFmtId="1" fontId="4" fillId="0" borderId="6" xfId="0" applyNumberFormat="1" applyFont="1" applyBorder="1" applyAlignment="1">
      <alignment horizontal="left" vertical="top" shrinkToFit="1"/>
    </xf>
    <xf numFmtId="0" fontId="14" fillId="0" borderId="1" xfId="0" applyFont="1" applyBorder="1" applyAlignment="1">
      <alignment horizontal="left" vertical="center" wrapText="1"/>
    </xf>
    <xf numFmtId="0" fontId="3" fillId="0" borderId="0" xfId="0" applyFont="1" applyAlignment="1">
      <alignment vertical="top" wrapText="1"/>
    </xf>
    <xf numFmtId="6" fontId="0" fillId="7" borderId="0" xfId="0" applyNumberFormat="1" applyFill="1" applyAlignment="1">
      <alignment horizontal="left" vertical="top"/>
    </xf>
    <xf numFmtId="6" fontId="0" fillId="8" borderId="0" xfId="0" applyNumberFormat="1" applyFill="1" applyAlignment="1">
      <alignment horizontal="left" vertical="top"/>
    </xf>
    <xf numFmtId="0" fontId="0" fillId="9" borderId="9" xfId="0" applyFill="1" applyBorder="1" applyAlignment="1">
      <alignment horizontal="left" vertical="top"/>
    </xf>
    <xf numFmtId="0" fontId="0" fillId="9" borderId="12" xfId="0" applyFill="1" applyBorder="1" applyAlignment="1">
      <alignment horizontal="left" vertical="top"/>
    </xf>
    <xf numFmtId="0" fontId="0" fillId="9" borderId="11" xfId="0" applyFill="1" applyBorder="1" applyAlignment="1">
      <alignment horizontal="left" vertical="top"/>
    </xf>
    <xf numFmtId="0" fontId="0" fillId="10" borderId="9" xfId="0" applyFill="1" applyBorder="1" applyAlignment="1">
      <alignment horizontal="left" vertical="top"/>
    </xf>
    <xf numFmtId="0" fontId="0" fillId="10" borderId="12" xfId="0" applyFill="1" applyBorder="1" applyAlignment="1">
      <alignment horizontal="left" vertical="top"/>
    </xf>
    <xf numFmtId="0" fontId="0" fillId="10" borderId="11" xfId="0" applyFill="1" applyBorder="1" applyAlignment="1">
      <alignment horizontal="left" vertical="top"/>
    </xf>
    <xf numFmtId="0" fontId="0" fillId="11" borderId="9" xfId="0" applyFill="1" applyBorder="1" applyAlignment="1">
      <alignment horizontal="left" vertical="top"/>
    </xf>
    <xf numFmtId="0" fontId="0" fillId="11" borderId="10" xfId="0" applyFill="1" applyBorder="1" applyAlignment="1">
      <alignment horizontal="left" vertical="top"/>
    </xf>
    <xf numFmtId="0" fontId="0" fillId="11" borderId="11" xfId="0" applyFill="1" applyBorder="1" applyAlignment="1">
      <alignment horizontal="left" vertical="top"/>
    </xf>
    <xf numFmtId="44" fontId="0" fillId="8" borderId="0" xfId="1" applyFont="1" applyFill="1" applyAlignment="1">
      <alignment horizontal="left" vertical="top"/>
    </xf>
    <xf numFmtId="166" fontId="0" fillId="8" borderId="0" xfId="1" applyNumberFormat="1" applyFont="1" applyFill="1" applyAlignment="1">
      <alignment horizontal="left" vertical="top"/>
    </xf>
    <xf numFmtId="0" fontId="2" fillId="0" borderId="1" xfId="0" quotePrefix="1" applyFont="1" applyBorder="1" applyAlignment="1">
      <alignment horizontal="left" vertical="top" wrapText="1"/>
    </xf>
    <xf numFmtId="0" fontId="15" fillId="7" borderId="0" xfId="0" applyFont="1" applyFill="1" applyAlignment="1">
      <alignment horizontal="left" vertical="top" wrapText="1"/>
    </xf>
    <xf numFmtId="0" fontId="15" fillId="8" borderId="0" xfId="0" applyFont="1" applyFill="1" applyAlignment="1">
      <alignment horizontal="left" vertical="top" wrapText="1"/>
    </xf>
    <xf numFmtId="6" fontId="0" fillId="0" borderId="0" xfId="0" applyNumberFormat="1" applyAlignment="1">
      <alignment horizontal="left" vertical="top"/>
    </xf>
    <xf numFmtId="0" fontId="0" fillId="0" borderId="0" xfId="0"/>
    <xf numFmtId="0" fontId="0" fillId="0" borderId="0" xfId="0" quotePrefix="1"/>
    <xf numFmtId="15" fontId="0" fillId="0" borderId="0" xfId="0" applyNumberFormat="1"/>
    <xf numFmtId="0" fontId="19" fillId="0" borderId="1" xfId="0" applyFont="1" applyBorder="1" applyAlignment="1">
      <alignment horizontal="left" vertical="top" wrapText="1"/>
    </xf>
    <xf numFmtId="0" fontId="15" fillId="0" borderId="0" xfId="0" applyFont="1" applyAlignment="1">
      <alignment horizontal="left" vertical="top"/>
    </xf>
    <xf numFmtId="0" fontId="2" fillId="0" borderId="1" xfId="0" applyFont="1" applyBorder="1" applyAlignment="1">
      <alignment horizontal="left" vertical="top"/>
    </xf>
    <xf numFmtId="14" fontId="0" fillId="0" borderId="0" xfId="0" applyNumberFormat="1" applyAlignment="1">
      <alignment horizontal="left" vertical="top" wrapText="1"/>
    </xf>
    <xf numFmtId="166" fontId="0" fillId="0" borderId="0" xfId="1" applyNumberFormat="1" applyFont="1" applyAlignment="1">
      <alignment horizontal="left" vertical="top" wrapText="1"/>
    </xf>
    <xf numFmtId="0" fontId="18" fillId="12" borderId="0" xfId="0" applyFont="1" applyFill="1" applyAlignment="1">
      <alignment horizontal="left" vertical="top"/>
    </xf>
    <xf numFmtId="0" fontId="15" fillId="12" borderId="0" xfId="0" applyFont="1" applyFill="1" applyAlignment="1">
      <alignment horizontal="left" vertical="top"/>
    </xf>
    <xf numFmtId="44" fontId="15" fillId="12" borderId="0" xfId="1" applyFont="1" applyFill="1" applyAlignment="1">
      <alignment horizontal="left" vertical="top"/>
    </xf>
    <xf numFmtId="44" fontId="0" fillId="12" borderId="0" xfId="1" applyFont="1" applyFill="1" applyAlignment="1">
      <alignment horizontal="left" vertical="top"/>
    </xf>
    <xf numFmtId="0" fontId="0" fillId="12" borderId="0" xfId="0" applyFill="1" applyAlignment="1">
      <alignment horizontal="left" vertical="top"/>
    </xf>
    <xf numFmtId="0" fontId="0" fillId="13" borderId="0" xfId="0" applyFill="1" applyAlignment="1" applyProtection="1">
      <alignment horizontal="left" vertical="top"/>
      <protection locked="0"/>
    </xf>
    <xf numFmtId="14" fontId="0" fillId="13" borderId="0" xfId="0" applyNumberFormat="1" applyFill="1" applyAlignment="1" applyProtection="1">
      <alignment horizontal="left" vertical="top"/>
      <protection locked="0"/>
    </xf>
    <xf numFmtId="0" fontId="15" fillId="13" borderId="0" xfId="0" applyFont="1" applyFill="1" applyAlignment="1" applyProtection="1">
      <alignment horizontal="center" vertical="top"/>
      <protection locked="0"/>
    </xf>
    <xf numFmtId="0" fontId="15" fillId="13" borderId="0" xfId="0" applyFont="1" applyFill="1" applyAlignment="1" applyProtection="1">
      <alignment horizontal="left" vertical="top"/>
      <protection locked="0"/>
    </xf>
    <xf numFmtId="14" fontId="15" fillId="13" borderId="0" xfId="0" applyNumberFormat="1" applyFont="1" applyFill="1" applyAlignment="1" applyProtection="1">
      <alignment horizontal="left" vertical="top"/>
      <protection locked="0"/>
    </xf>
    <xf numFmtId="1" fontId="0" fillId="13" borderId="0" xfId="0" applyNumberFormat="1" applyFill="1" applyAlignment="1" applyProtection="1">
      <alignment horizontal="left" vertical="top"/>
      <protection locked="0"/>
    </xf>
    <xf numFmtId="166" fontId="0" fillId="13" borderId="0" xfId="1" applyNumberFormat="1" applyFont="1" applyFill="1" applyAlignment="1" applyProtection="1">
      <alignment horizontal="left" vertical="top"/>
      <protection locked="0"/>
    </xf>
    <xf numFmtId="10" fontId="0" fillId="0" borderId="0" xfId="2" applyNumberFormat="1" applyFont="1" applyAlignment="1">
      <alignment horizontal="left" vertical="top"/>
    </xf>
    <xf numFmtId="44" fontId="0" fillId="0" borderId="0" xfId="1" applyFont="1" applyFill="1" applyAlignment="1">
      <alignment horizontal="left" vertical="top"/>
    </xf>
    <xf numFmtId="43" fontId="0" fillId="0" borderId="1" xfId="3" applyFont="1" applyBorder="1" applyAlignment="1">
      <alignment horizontal="left" vertical="center" wrapText="1"/>
    </xf>
    <xf numFmtId="166" fontId="0" fillId="6" borderId="0" xfId="1" applyNumberFormat="1" applyFont="1" applyFill="1" applyAlignment="1">
      <alignment horizontal="left" vertical="top"/>
    </xf>
    <xf numFmtId="165" fontId="4" fillId="6" borderId="1" xfId="0" applyNumberFormat="1" applyFont="1" applyFill="1" applyBorder="1" applyAlignment="1">
      <alignment horizontal="left" vertical="top" shrinkToFit="1"/>
    </xf>
    <xf numFmtId="44" fontId="14" fillId="6" borderId="0" xfId="1" applyFont="1" applyFill="1" applyAlignment="1">
      <alignment horizontal="left" vertical="top"/>
    </xf>
    <xf numFmtId="164" fontId="4" fillId="6" borderId="1" xfId="0" applyNumberFormat="1" applyFont="1" applyFill="1" applyBorder="1" applyAlignment="1">
      <alignment horizontal="left" vertical="top" shrinkToFit="1"/>
    </xf>
    <xf numFmtId="6" fontId="0" fillId="6" borderId="12" xfId="0" applyNumberFormat="1" applyFill="1" applyBorder="1" applyAlignment="1">
      <alignment horizontal="left" vertical="top"/>
    </xf>
    <xf numFmtId="6" fontId="0" fillId="6" borderId="10" xfId="0" applyNumberFormat="1" applyFill="1" applyBorder="1" applyAlignment="1">
      <alignment horizontal="left" vertical="top"/>
    </xf>
    <xf numFmtId="0" fontId="4" fillId="0" borderId="1" xfId="0" applyFont="1" applyBorder="1" applyAlignment="1">
      <alignment horizontal="left" vertical="top" wrapText="1" indent="3"/>
    </xf>
    <xf numFmtId="0" fontId="15" fillId="0" borderId="1" xfId="0" applyFont="1" applyBorder="1" applyAlignment="1">
      <alignment horizontal="left" vertical="top" wrapText="1" indent="3"/>
    </xf>
    <xf numFmtId="0" fontId="0" fillId="0" borderId="0" xfId="0" applyAlignment="1">
      <alignment horizontal="center" vertical="top"/>
    </xf>
    <xf numFmtId="0" fontId="15" fillId="0" borderId="0" xfId="0" applyFont="1" applyAlignment="1">
      <alignment horizontal="center" vertical="top"/>
    </xf>
    <xf numFmtId="0" fontId="20" fillId="0" borderId="0" xfId="0" applyFont="1" applyAlignment="1">
      <alignment horizontal="center" vertical="top"/>
    </xf>
    <xf numFmtId="0" fontId="2" fillId="2" borderId="2" xfId="0" applyFont="1" applyFill="1" applyBorder="1" applyAlignment="1">
      <alignment horizontal="left" vertical="top" wrapText="1"/>
    </xf>
    <xf numFmtId="0" fontId="2" fillId="2" borderId="3" xfId="0" applyFont="1" applyFill="1" applyBorder="1" applyAlignment="1">
      <alignment horizontal="left" vertical="top" wrapText="1"/>
    </xf>
    <xf numFmtId="0" fontId="2" fillId="2" borderId="4" xfId="0" applyFont="1" applyFill="1" applyBorder="1" applyAlignment="1">
      <alignment horizontal="left" vertical="top" wrapText="1"/>
    </xf>
    <xf numFmtId="0" fontId="3" fillId="0" borderId="0" xfId="0" applyFont="1" applyAlignment="1">
      <alignment horizontal="left" vertical="top" wrapText="1" indent="1"/>
    </xf>
    <xf numFmtId="0" fontId="0" fillId="0" borderId="0" xfId="0" applyAlignment="1">
      <alignment horizontal="left" vertical="top" wrapText="1" indent="1"/>
    </xf>
    <xf numFmtId="0" fontId="0" fillId="5" borderId="0" xfId="0" applyFill="1" applyAlignment="1">
      <alignment horizontal="center" vertical="top"/>
    </xf>
    <xf numFmtId="0" fontId="4" fillId="0" borderId="0" xfId="0" applyFont="1" applyAlignment="1">
      <alignment horizontal="left" vertical="top" wrapText="1" indent="1"/>
    </xf>
    <xf numFmtId="0" fontId="0" fillId="4" borderId="0" xfId="0" applyFill="1" applyAlignment="1">
      <alignment horizontal="center" vertical="top"/>
    </xf>
    <xf numFmtId="0" fontId="15" fillId="0" borderId="7" xfId="0" applyFont="1" applyBorder="1" applyAlignment="1">
      <alignment horizontal="center" vertical="top"/>
    </xf>
    <xf numFmtId="0" fontId="0" fillId="0" borderId="7" xfId="0" applyBorder="1" applyAlignment="1">
      <alignment horizontal="center" vertical="top"/>
    </xf>
    <xf numFmtId="0" fontId="2" fillId="0" borderId="2" xfId="0" applyFont="1" applyBorder="1" applyAlignment="1">
      <alignment horizontal="left" vertical="top" wrapText="1"/>
    </xf>
    <xf numFmtId="0" fontId="2" fillId="0" borderId="3" xfId="0" applyFont="1" applyBorder="1" applyAlignment="1">
      <alignment horizontal="left" vertical="top" wrapText="1"/>
    </xf>
    <xf numFmtId="0" fontId="2" fillId="0" borderId="4" xfId="0" applyFont="1" applyBorder="1" applyAlignment="1">
      <alignment horizontal="left" vertical="top" wrapText="1"/>
    </xf>
    <xf numFmtId="1" fontId="4" fillId="0" borderId="2" xfId="0" applyNumberFormat="1" applyFont="1" applyBorder="1" applyAlignment="1">
      <alignment horizontal="left" vertical="top" shrinkToFit="1"/>
    </xf>
    <xf numFmtId="1" fontId="4" fillId="0" borderId="3" xfId="0" applyNumberFormat="1" applyFont="1" applyBorder="1" applyAlignment="1">
      <alignment horizontal="left" vertical="top" shrinkToFit="1"/>
    </xf>
    <xf numFmtId="1" fontId="4" fillId="0" borderId="4" xfId="0" applyNumberFormat="1" applyFont="1" applyBorder="1" applyAlignment="1">
      <alignment horizontal="left" vertical="top" shrinkToFit="1"/>
    </xf>
    <xf numFmtId="164" fontId="4" fillId="6" borderId="2" xfId="0" applyNumberFormat="1" applyFont="1" applyFill="1" applyBorder="1" applyAlignment="1">
      <alignment horizontal="left" vertical="top" shrinkToFit="1"/>
    </xf>
    <xf numFmtId="164" fontId="4" fillId="6" borderId="3" xfId="0" applyNumberFormat="1" applyFont="1" applyFill="1" applyBorder="1" applyAlignment="1">
      <alignment horizontal="left" vertical="top" shrinkToFit="1"/>
    </xf>
    <xf numFmtId="164" fontId="4" fillId="6" borderId="4" xfId="0" applyNumberFormat="1" applyFont="1" applyFill="1" applyBorder="1" applyAlignment="1">
      <alignment horizontal="left" vertical="top" shrinkToFit="1"/>
    </xf>
    <xf numFmtId="0" fontId="17" fillId="0" borderId="0" xfId="0" applyFont="1" applyAlignment="1">
      <alignment horizontal="left" vertical="top" wrapText="1" indent="1"/>
    </xf>
    <xf numFmtId="0" fontId="1" fillId="0" borderId="2" xfId="0" applyFont="1" applyBorder="1" applyAlignment="1">
      <alignment horizontal="left" vertical="top" wrapText="1"/>
    </xf>
    <xf numFmtId="0" fontId="1" fillId="0" borderId="3" xfId="0" applyFont="1" applyBorder="1" applyAlignment="1">
      <alignment horizontal="left" vertical="top" wrapText="1"/>
    </xf>
    <xf numFmtId="0" fontId="1" fillId="0" borderId="4" xfId="0" applyFont="1" applyBorder="1" applyAlignment="1">
      <alignment horizontal="left" vertical="top" wrapText="1"/>
    </xf>
    <xf numFmtId="165" fontId="4" fillId="0" borderId="2" xfId="0" applyNumberFormat="1" applyFont="1" applyBorder="1" applyAlignment="1">
      <alignment horizontal="left" vertical="top" shrinkToFit="1"/>
    </xf>
    <xf numFmtId="165" fontId="4" fillId="0" borderId="3" xfId="0" applyNumberFormat="1" applyFont="1" applyBorder="1" applyAlignment="1">
      <alignment horizontal="left" vertical="top" shrinkToFit="1"/>
    </xf>
    <xf numFmtId="165" fontId="4" fillId="0" borderId="4" xfId="0" applyNumberFormat="1" applyFont="1" applyBorder="1" applyAlignment="1">
      <alignment horizontal="left" vertical="top" shrinkToFit="1"/>
    </xf>
    <xf numFmtId="0" fontId="3" fillId="0" borderId="6" xfId="0" applyFont="1" applyBorder="1" applyAlignment="1">
      <alignment horizontal="center" vertical="top" wrapText="1"/>
    </xf>
    <xf numFmtId="0" fontId="22" fillId="0" borderId="0" xfId="0" applyFont="1" applyAlignment="1">
      <alignment horizontal="left" vertical="top" wrapText="1" indent="1"/>
    </xf>
    <xf numFmtId="0" fontId="0" fillId="0" borderId="2" xfId="0" applyBorder="1" applyAlignment="1">
      <alignment horizontal="left" vertical="top" wrapText="1"/>
    </xf>
    <xf numFmtId="0" fontId="0" fillId="0" borderId="3" xfId="0" applyBorder="1" applyAlignment="1">
      <alignment horizontal="left" vertical="top" wrapText="1"/>
    </xf>
    <xf numFmtId="0" fontId="0" fillId="0" borderId="4" xfId="0" applyBorder="1" applyAlignment="1">
      <alignment horizontal="left" vertical="top" wrapText="1"/>
    </xf>
    <xf numFmtId="0" fontId="3" fillId="0" borderId="8" xfId="0" applyFont="1" applyBorder="1" applyAlignment="1">
      <alignment horizontal="center" vertical="top" wrapText="1"/>
    </xf>
    <xf numFmtId="164" fontId="4" fillId="0" borderId="2" xfId="0" applyNumberFormat="1" applyFont="1" applyBorder="1" applyAlignment="1">
      <alignment horizontal="left" vertical="top" shrinkToFit="1"/>
    </xf>
    <xf numFmtId="164" fontId="4" fillId="0" borderId="3" xfId="0" applyNumberFormat="1" applyFont="1" applyBorder="1" applyAlignment="1">
      <alignment horizontal="left" vertical="top" shrinkToFit="1"/>
    </xf>
    <xf numFmtId="164" fontId="4" fillId="0" borderId="4" xfId="0" applyNumberFormat="1" applyFont="1" applyBorder="1" applyAlignment="1">
      <alignment horizontal="left" vertical="top" shrinkToFit="1"/>
    </xf>
    <xf numFmtId="0" fontId="15" fillId="9" borderId="14" xfId="0" applyFont="1" applyFill="1" applyBorder="1" applyAlignment="1">
      <alignment horizontal="center" vertical="top"/>
    </xf>
    <xf numFmtId="0" fontId="15" fillId="9" borderId="15" xfId="0" applyFont="1" applyFill="1" applyBorder="1" applyAlignment="1">
      <alignment horizontal="center" vertical="top"/>
    </xf>
    <xf numFmtId="0" fontId="15" fillId="10" borderId="14" xfId="0" applyFont="1" applyFill="1" applyBorder="1" applyAlignment="1">
      <alignment horizontal="center" vertical="top"/>
    </xf>
    <xf numFmtId="0" fontId="15" fillId="10" borderId="15" xfId="0" applyFont="1" applyFill="1" applyBorder="1" applyAlignment="1">
      <alignment horizontal="center" vertical="top"/>
    </xf>
    <xf numFmtId="0" fontId="15" fillId="11" borderId="14" xfId="0" applyFont="1" applyFill="1" applyBorder="1" applyAlignment="1">
      <alignment horizontal="center" vertical="top"/>
    </xf>
    <xf numFmtId="0" fontId="15" fillId="11" borderId="15" xfId="0" applyFont="1" applyFill="1" applyBorder="1" applyAlignment="1">
      <alignment horizontal="center" vertical="top"/>
    </xf>
    <xf numFmtId="0" fontId="15" fillId="7" borderId="13" xfId="0" applyFont="1" applyFill="1" applyBorder="1" applyAlignment="1">
      <alignment horizontal="center" vertical="top"/>
    </xf>
    <xf numFmtId="0" fontId="0" fillId="7" borderId="13" xfId="0" applyFill="1" applyBorder="1" applyAlignment="1">
      <alignment horizontal="center" vertical="top"/>
    </xf>
    <xf numFmtId="0" fontId="15" fillId="8" borderId="13" xfId="0" applyFont="1" applyFill="1" applyBorder="1" applyAlignment="1">
      <alignment horizontal="center" vertical="top"/>
    </xf>
    <xf numFmtId="0" fontId="0" fillId="8" borderId="13" xfId="0" applyFill="1" applyBorder="1" applyAlignment="1">
      <alignment horizontal="center" vertical="top"/>
    </xf>
  </cellXfs>
  <cellStyles count="4">
    <cellStyle name="Comma" xfId="3" builtinId="3"/>
    <cellStyle name="Currency" xfId="1" builtinId="4"/>
    <cellStyle name="Normal" xfId="0" builtinId="0"/>
    <cellStyle name="Percent" xfId="2" builtinId="5"/>
  </cellStyles>
  <dxfs count="1">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26" Type="http://schemas.microsoft.com/office/2006/relationships/vbaProject" Target="vbaProject.bin"/><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xml version="1.0" encoding="UTF-8" standalone="yes"?>
<Relationships xmlns="http://schemas.openxmlformats.org/package/2006/relationships"><Relationship Id="rId1" Type="http://schemas.openxmlformats.org/officeDocument/2006/relationships/hyperlink" Target="https://www.ssa.gov/oact/cola/cbb.html" TargetMode="External"/></Relationships>
</file>

<file path=xl/worksheets/_rels/sheet9.xml.rels><?xml version="1.0" encoding="UTF-8" standalone="yes"?>
<Relationships xmlns="http://schemas.openxmlformats.org/package/2006/relationships"><Relationship Id="rId1" Type="http://schemas.openxmlformats.org/officeDocument/2006/relationships/hyperlink" Target="https://www.ssa.gov/oact/cola/cbb.html" TargetMode="External"/></Relationships>
</file>

<file path=xl/worksheets/_rels/sheet12.xml.rels><?xml version="1.0" encoding="UTF-8" standalone="yes"?>
<Relationships xmlns="http://schemas.openxmlformats.org/package/2006/relationships"><Relationship Id="rId1" Type="http://schemas.openxmlformats.org/officeDocument/2006/relationships/hyperlink" Target="https://www.ssa.gov/oact/cola/cbb.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E7507-7552-4C9F-AFFB-A37357F235F4}">
  <sheetPr codeName="Sheet1"/>
  <dimension ref="A1:EO199"/>
  <sheetViews>
    <sheetView zoomScaleNormal="100" workbookViewId="0">
      <selection activeCell="A2" sqref="A2"/>
    </sheetView>
  </sheetViews>
  <sheetFormatPr defaultRowHeight="12.75" x14ac:dyDescent="0.2"/>
  <cols>
    <col min="1" max="1" width="11.1640625" bestFit="1" customWidth="1"/>
    <col min="2" max="4" width="12" bestFit="1" customWidth="1"/>
    <col min="5" max="5" width="15.1640625" bestFit="1" customWidth="1"/>
    <col min="6" max="6" width="11.6640625" bestFit="1" customWidth="1"/>
    <col min="7" max="7" width="23.1640625" bestFit="1" customWidth="1"/>
    <col min="8" max="8" width="12" bestFit="1" customWidth="1"/>
    <col min="9" max="9" width="20" bestFit="1" customWidth="1"/>
    <col min="10" max="10" width="22.33203125" bestFit="1" customWidth="1"/>
    <col min="11" max="11" width="13.83203125" bestFit="1" customWidth="1"/>
    <col min="12" max="12" width="13.5" bestFit="1" customWidth="1"/>
    <col min="13" max="13" width="38" bestFit="1" customWidth="1"/>
    <col min="14" max="14" width="13.6640625" bestFit="1" customWidth="1"/>
    <col min="15" max="15" width="15.33203125" bestFit="1" customWidth="1"/>
    <col min="16" max="16" width="14.1640625" bestFit="1" customWidth="1"/>
    <col min="17" max="17" width="12.33203125" bestFit="1" customWidth="1"/>
    <col min="18" max="18" width="10.6640625" bestFit="1" customWidth="1"/>
    <col min="19" max="19" width="17.1640625" bestFit="1" customWidth="1"/>
    <col min="20" max="20" width="8.5" bestFit="1" customWidth="1"/>
    <col min="21" max="21" width="7.5" bestFit="1" customWidth="1"/>
    <col min="22" max="22" width="8.5" bestFit="1" customWidth="1"/>
    <col min="23" max="23" width="8.1640625" bestFit="1" customWidth="1"/>
    <col min="24" max="24" width="21.1640625" bestFit="1" customWidth="1"/>
    <col min="25" max="25" width="10.83203125" bestFit="1" customWidth="1"/>
    <col min="26" max="26" width="11.1640625" bestFit="1" customWidth="1"/>
    <col min="27" max="27" width="22.6640625" bestFit="1" customWidth="1"/>
    <col min="28" max="28" width="7.33203125" bestFit="1" customWidth="1"/>
    <col min="29" max="29" width="13.83203125" bestFit="1" customWidth="1"/>
    <col min="30" max="30" width="13.5" bestFit="1" customWidth="1"/>
    <col min="31" max="31" width="32.5" bestFit="1" customWidth="1"/>
    <col min="32" max="32" width="13.6640625" bestFit="1" customWidth="1"/>
    <col min="33" max="33" width="15.6640625" bestFit="1" customWidth="1"/>
    <col min="35" max="35" width="10.83203125" bestFit="1" customWidth="1"/>
    <col min="36" max="36" width="10.6640625" bestFit="1" customWidth="1"/>
    <col min="37" max="37" width="8.1640625" bestFit="1" customWidth="1"/>
    <col min="38" max="38" width="8.33203125" bestFit="1" customWidth="1"/>
    <col min="39" max="39" width="7" bestFit="1" customWidth="1"/>
    <col min="40" max="40" width="8.33203125" bestFit="1" customWidth="1"/>
    <col min="41" max="41" width="7.33203125" bestFit="1" customWidth="1"/>
    <col min="42" max="42" width="21.1640625" bestFit="1" customWidth="1"/>
    <col min="43" max="43" width="10.83203125" bestFit="1" customWidth="1"/>
    <col min="44" max="44" width="11.1640625" bestFit="1" customWidth="1"/>
    <col min="45" max="45" width="7.33203125" bestFit="1" customWidth="1"/>
    <col min="46" max="46" width="19.1640625" bestFit="1" customWidth="1"/>
    <col min="47" max="47" width="9.1640625" style="45" customWidth="1"/>
    <col min="48" max="48" width="20.6640625" bestFit="1" customWidth="1"/>
    <col min="49" max="49" width="15.5" bestFit="1" customWidth="1"/>
    <col min="50" max="50" width="23.1640625" bestFit="1" customWidth="1"/>
    <col min="51" max="51" width="12" bestFit="1" customWidth="1"/>
    <col min="52" max="52" width="12.6640625" style="25" bestFit="1" customWidth="1"/>
    <col min="53" max="53" width="7.83203125" bestFit="1" customWidth="1"/>
    <col min="54" max="54" width="8.1640625" bestFit="1" customWidth="1"/>
    <col min="55" max="58" width="8.5" customWidth="1"/>
    <col min="60" max="60" width="22" bestFit="1" customWidth="1"/>
    <col min="61" max="61" width="29.6640625" bestFit="1" customWidth="1"/>
    <col min="62" max="62" width="8.1640625" bestFit="1" customWidth="1"/>
    <col min="63" max="63" width="24.1640625" bestFit="1" customWidth="1"/>
    <col min="64" max="64" width="16.33203125" bestFit="1" customWidth="1"/>
    <col min="65" max="65" width="28.5" bestFit="1" customWidth="1"/>
    <col min="66" max="66" width="127.5" bestFit="1" customWidth="1"/>
    <col min="67" max="67" width="28.83203125" bestFit="1" customWidth="1"/>
    <col min="68" max="68" width="20.83203125" bestFit="1" customWidth="1"/>
    <col min="69" max="69" width="27.5" bestFit="1" customWidth="1"/>
    <col min="70" max="70" width="20.5" bestFit="1" customWidth="1"/>
    <col min="71" max="71" width="25.83203125" bestFit="1" customWidth="1"/>
    <col min="72" max="72" width="14.83203125" bestFit="1" customWidth="1"/>
    <col min="73" max="73" width="17.5" bestFit="1" customWidth="1"/>
    <col min="74" max="74" width="41.5" bestFit="1" customWidth="1"/>
    <col min="75" max="75" width="40" bestFit="1" customWidth="1"/>
    <col min="76" max="76" width="33.83203125" bestFit="1" customWidth="1"/>
    <col min="77" max="77" width="34.1640625" bestFit="1" customWidth="1"/>
    <col min="78" max="78" width="33.6640625" bestFit="1" customWidth="1"/>
    <col min="79" max="79" width="16.5" bestFit="1" customWidth="1"/>
    <col min="80" max="80" width="23" bestFit="1" customWidth="1"/>
    <col min="81" max="81" width="23.1640625" bestFit="1" customWidth="1"/>
    <col min="82" max="82" width="13.83203125" bestFit="1" customWidth="1"/>
    <col min="83" max="83" width="22.33203125" bestFit="1" customWidth="1"/>
    <col min="84" max="84" width="36.83203125" bestFit="1" customWidth="1"/>
    <col min="85" max="85" width="37" bestFit="1" customWidth="1"/>
    <col min="86" max="86" width="28" bestFit="1" customWidth="1"/>
    <col min="87" max="87" width="28.1640625" bestFit="1" customWidth="1"/>
    <col min="88" max="88" width="21.33203125" bestFit="1" customWidth="1"/>
    <col min="89" max="89" width="22.33203125" bestFit="1" customWidth="1"/>
    <col min="90" max="90" width="26.6640625" bestFit="1" customWidth="1"/>
    <col min="91" max="91" width="26" bestFit="1" customWidth="1"/>
    <col min="92" max="92" width="23" bestFit="1" customWidth="1"/>
    <col min="93" max="93" width="21.83203125" bestFit="1" customWidth="1"/>
    <col min="94" max="94" width="25.83203125" bestFit="1" customWidth="1"/>
    <col min="95" max="95" width="26" bestFit="1" customWidth="1"/>
    <col min="96" max="96" width="33.6640625" bestFit="1" customWidth="1"/>
    <col min="97" max="97" width="33.83203125" bestFit="1" customWidth="1"/>
    <col min="98" max="98" width="26.5" bestFit="1" customWidth="1"/>
    <col min="99" max="99" width="26.6640625" bestFit="1" customWidth="1"/>
    <col min="100" max="100" width="19.83203125" bestFit="1" customWidth="1"/>
    <col min="101" max="101" width="20" bestFit="1" customWidth="1"/>
    <col min="102" max="103" width="15" bestFit="1" customWidth="1"/>
    <col min="104" max="104" width="30.33203125" bestFit="1" customWidth="1"/>
    <col min="105" max="105" width="29.6640625" bestFit="1" customWidth="1"/>
    <col min="106" max="106" width="31.33203125" bestFit="1" customWidth="1"/>
    <col min="107" max="107" width="32.33203125" bestFit="1" customWidth="1"/>
    <col min="108" max="108" width="27.1640625" bestFit="1" customWidth="1"/>
    <col min="109" max="109" width="24.33203125" bestFit="1" customWidth="1"/>
    <col min="110" max="110" width="16.33203125" bestFit="1" customWidth="1"/>
    <col min="111" max="111" width="35" bestFit="1" customWidth="1"/>
    <col min="112" max="112" width="43.1640625" bestFit="1" customWidth="1"/>
    <col min="113" max="113" width="33.83203125" bestFit="1" customWidth="1"/>
    <col min="114" max="114" width="34.83203125" bestFit="1" customWidth="1"/>
    <col min="115" max="115" width="33.1640625" bestFit="1" customWidth="1"/>
    <col min="116" max="116" width="20.83203125" bestFit="1" customWidth="1"/>
    <col min="117" max="117" width="24.1640625" bestFit="1" customWidth="1"/>
    <col min="118" max="118" width="28.1640625" bestFit="1" customWidth="1"/>
    <col min="119" max="119" width="40.6640625" bestFit="1" customWidth="1"/>
    <col min="120" max="120" width="27.83203125" bestFit="1" customWidth="1"/>
    <col min="121" max="121" width="31.83203125" bestFit="1" customWidth="1"/>
    <col min="122" max="122" width="32" bestFit="1" customWidth="1"/>
    <col min="123" max="123" width="31.83203125" bestFit="1" customWidth="1"/>
    <col min="124" max="124" width="40" bestFit="1" customWidth="1"/>
    <col min="125" max="125" width="28.1640625" bestFit="1" customWidth="1"/>
    <col min="126" max="126" width="25" bestFit="1" customWidth="1"/>
    <col min="127" max="127" width="32.6640625" bestFit="1" customWidth="1"/>
    <col min="128" max="128" width="18.5" bestFit="1" customWidth="1"/>
    <col min="129" max="129" width="26.1640625" bestFit="1" customWidth="1"/>
    <col min="130" max="130" width="33.1640625" bestFit="1" customWidth="1"/>
    <col min="131" max="131" width="32" bestFit="1" customWidth="1"/>
    <col min="132" max="132" width="21" bestFit="1" customWidth="1"/>
    <col min="133" max="133" width="39.5" bestFit="1" customWidth="1"/>
    <col min="134" max="134" width="28.83203125" bestFit="1" customWidth="1"/>
    <col min="135" max="135" width="34.1640625" bestFit="1" customWidth="1"/>
    <col min="136" max="136" width="29.6640625" bestFit="1" customWidth="1"/>
    <col min="137" max="137" width="35" bestFit="1" customWidth="1"/>
    <col min="138" max="138" width="22.5" bestFit="1" customWidth="1"/>
    <col min="139" max="139" width="39.33203125" bestFit="1" customWidth="1"/>
    <col min="140" max="140" width="15.6640625" bestFit="1" customWidth="1"/>
    <col min="141" max="141" width="49.33203125" bestFit="1" customWidth="1"/>
    <col min="142" max="142" width="49.6640625" bestFit="1" customWidth="1"/>
    <col min="143" max="143" width="39.33203125" bestFit="1" customWidth="1"/>
    <col min="144" max="144" width="15.83203125" bestFit="1" customWidth="1"/>
  </cols>
  <sheetData>
    <row r="1" spans="1:145" s="2" customFormat="1" ht="51.75" customHeight="1" x14ac:dyDescent="0.2">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c r="AE1" s="2" t="s">
        <v>30</v>
      </c>
      <c r="AF1" s="2" t="s">
        <v>31</v>
      </c>
      <c r="AG1" s="2" t="s">
        <v>32</v>
      </c>
      <c r="AH1" s="2" t="s">
        <v>33</v>
      </c>
      <c r="AI1" s="2" t="s">
        <v>34</v>
      </c>
      <c r="AJ1" s="2" t="s">
        <v>35</v>
      </c>
      <c r="AK1" s="2" t="s">
        <v>36</v>
      </c>
      <c r="AL1" s="2" t="s">
        <v>37</v>
      </c>
      <c r="AM1" s="2" t="s">
        <v>38</v>
      </c>
      <c r="AN1" s="2" t="s">
        <v>39</v>
      </c>
      <c r="AO1" s="2" t="s">
        <v>22</v>
      </c>
      <c r="AP1" s="2" t="s">
        <v>23</v>
      </c>
      <c r="AQ1" s="2" t="s">
        <v>24</v>
      </c>
      <c r="AR1" s="2" t="s">
        <v>25</v>
      </c>
      <c r="AS1" s="2" t="s">
        <v>40</v>
      </c>
      <c r="AT1" s="2" t="s">
        <v>41</v>
      </c>
      <c r="AU1" s="89" t="s">
        <v>42</v>
      </c>
      <c r="AV1" s="2" t="s">
        <v>43</v>
      </c>
      <c r="AW1" s="2" t="s">
        <v>44</v>
      </c>
      <c r="AX1" s="2" t="s">
        <v>45</v>
      </c>
      <c r="AY1" s="2" t="s">
        <v>46</v>
      </c>
      <c r="AZ1" s="90" t="s">
        <v>47</v>
      </c>
      <c r="BA1" s="2" t="s">
        <v>48</v>
      </c>
      <c r="BB1" s="2" t="s">
        <v>49</v>
      </c>
      <c r="BC1" s="2" t="s">
        <v>50</v>
      </c>
      <c r="BH1" s="83" t="s">
        <v>51</v>
      </c>
      <c r="BI1" s="83" t="s">
        <v>52</v>
      </c>
      <c r="BJ1" s="83" t="s">
        <v>53</v>
      </c>
      <c r="BK1" s="83" t="s">
        <v>54</v>
      </c>
      <c r="BL1" s="83" t="s">
        <v>55</v>
      </c>
      <c r="BM1" s="83" t="s">
        <v>56</v>
      </c>
      <c r="BN1" s="83" t="s">
        <v>57</v>
      </c>
      <c r="BO1" s="83" t="s">
        <v>58</v>
      </c>
      <c r="BP1" s="83" t="s">
        <v>59</v>
      </c>
      <c r="BQ1" s="83" t="s">
        <v>60</v>
      </c>
      <c r="BR1" s="83" t="s">
        <v>61</v>
      </c>
      <c r="BS1" s="83" t="s">
        <v>62</v>
      </c>
      <c r="BT1" s="83" t="s">
        <v>63</v>
      </c>
      <c r="BU1" s="83" t="s">
        <v>64</v>
      </c>
      <c r="BV1" s="83" t="s">
        <v>65</v>
      </c>
      <c r="BW1" s="83" t="s">
        <v>66</v>
      </c>
      <c r="BX1" s="83" t="s">
        <v>67</v>
      </c>
      <c r="BY1" s="83" t="s">
        <v>68</v>
      </c>
      <c r="BZ1" s="83" t="s">
        <v>69</v>
      </c>
      <c r="CA1" s="83" t="s">
        <v>70</v>
      </c>
      <c r="CB1" s="83" t="s">
        <v>71</v>
      </c>
      <c r="CC1" s="83" t="s">
        <v>72</v>
      </c>
      <c r="CD1" s="83" t="s">
        <v>73</v>
      </c>
      <c r="CE1" s="83" t="s">
        <v>74</v>
      </c>
      <c r="CF1" s="83" t="s">
        <v>75</v>
      </c>
      <c r="CG1" s="83" t="s">
        <v>76</v>
      </c>
      <c r="CH1" s="83" t="s">
        <v>77</v>
      </c>
      <c r="CI1" s="83" t="s">
        <v>78</v>
      </c>
      <c r="CJ1" s="83" t="s">
        <v>79</v>
      </c>
      <c r="CK1" s="83" t="s">
        <v>80</v>
      </c>
      <c r="CL1" s="83" t="s">
        <v>81</v>
      </c>
      <c r="CM1" s="83" t="s">
        <v>82</v>
      </c>
      <c r="CN1" s="83" t="s">
        <v>83</v>
      </c>
      <c r="CO1" s="83" t="s">
        <v>84</v>
      </c>
      <c r="CP1" s="83" t="s">
        <v>85</v>
      </c>
      <c r="CQ1" s="83" t="s">
        <v>86</v>
      </c>
      <c r="CR1" s="83" t="s">
        <v>87</v>
      </c>
      <c r="CS1" s="83" t="s">
        <v>88</v>
      </c>
      <c r="CT1" s="83" t="s">
        <v>89</v>
      </c>
      <c r="CU1" s="83" t="s">
        <v>90</v>
      </c>
      <c r="CV1" s="83" t="s">
        <v>91</v>
      </c>
      <c r="CW1" s="83" t="s">
        <v>92</v>
      </c>
      <c r="CX1" s="83" t="s">
        <v>93</v>
      </c>
      <c r="CY1" s="83" t="s">
        <v>94</v>
      </c>
      <c r="CZ1" s="83" t="s">
        <v>95</v>
      </c>
      <c r="DA1" s="83" t="s">
        <v>96</v>
      </c>
      <c r="DB1" s="83" t="s">
        <v>97</v>
      </c>
      <c r="DC1" s="83" t="s">
        <v>98</v>
      </c>
      <c r="DD1" s="83" t="s">
        <v>99</v>
      </c>
      <c r="DE1" s="83" t="s">
        <v>100</v>
      </c>
      <c r="DF1" s="83" t="s">
        <v>101</v>
      </c>
      <c r="DG1" s="83" t="s">
        <v>102</v>
      </c>
      <c r="DH1" s="83" t="s">
        <v>103</v>
      </c>
      <c r="DI1" s="83" t="s">
        <v>104</v>
      </c>
      <c r="DJ1" s="83" t="s">
        <v>105</v>
      </c>
      <c r="DK1" s="83" t="s">
        <v>106</v>
      </c>
      <c r="DL1" s="83" t="s">
        <v>107</v>
      </c>
      <c r="DM1" s="83" t="s">
        <v>108</v>
      </c>
      <c r="DN1" s="83" t="s">
        <v>109</v>
      </c>
      <c r="DO1" s="83" t="s">
        <v>110</v>
      </c>
      <c r="DP1" s="83" t="s">
        <v>111</v>
      </c>
      <c r="DQ1" s="83" t="s">
        <v>112</v>
      </c>
      <c r="DR1" s="83" t="s">
        <v>113</v>
      </c>
      <c r="DS1" s="83" t="s">
        <v>114</v>
      </c>
      <c r="DT1" s="83" t="s">
        <v>115</v>
      </c>
      <c r="DU1" s="83" t="s">
        <v>116</v>
      </c>
      <c r="DV1" s="83" t="s">
        <v>117</v>
      </c>
      <c r="DW1" s="83" t="s">
        <v>118</v>
      </c>
      <c r="DX1" s="83" t="s">
        <v>119</v>
      </c>
      <c r="DY1" s="83" t="s">
        <v>120</v>
      </c>
      <c r="DZ1" s="83" t="s">
        <v>121</v>
      </c>
      <c r="EA1" s="83" t="s">
        <v>122</v>
      </c>
      <c r="EB1" s="83" t="s">
        <v>123</v>
      </c>
      <c r="EC1" s="83" t="s">
        <v>124</v>
      </c>
      <c r="ED1" s="83" t="s">
        <v>125</v>
      </c>
      <c r="EE1" s="83" t="s">
        <v>126</v>
      </c>
      <c r="EF1" s="83" t="s">
        <v>127</v>
      </c>
      <c r="EG1" s="83" t="s">
        <v>128</v>
      </c>
      <c r="EH1" s="83" t="s">
        <v>129</v>
      </c>
      <c r="EI1" s="83" t="s">
        <v>130</v>
      </c>
      <c r="EJ1" s="83" t="s">
        <v>131</v>
      </c>
      <c r="EK1" s="83" t="s">
        <v>132</v>
      </c>
      <c r="EL1" s="83" t="s">
        <v>133</v>
      </c>
      <c r="EM1" s="83" t="s">
        <v>134</v>
      </c>
      <c r="EN1" s="83" t="s">
        <v>135</v>
      </c>
      <c r="EO1" s="83" t="s">
        <v>136</v>
      </c>
    </row>
    <row r="2" spans="1:145" x14ac:dyDescent="0.2">
      <c r="A2" t="str">
        <f>IF(OR(BM2="YES",BN2="Yes",BO2="",BP2&lt;&gt;"Single (never married)",BQ2="Yes"),"Independent","Dependent")</f>
        <v>Dependent</v>
      </c>
      <c r="B2">
        <v>6</v>
      </c>
      <c r="C2" s="45">
        <v>28045</v>
      </c>
      <c r="D2" s="45">
        <v>27080</v>
      </c>
      <c r="E2" t="s">
        <v>137</v>
      </c>
      <c r="F2" t="s">
        <v>137</v>
      </c>
      <c r="G2" t="s">
        <v>138</v>
      </c>
      <c r="H2" t="s">
        <v>139</v>
      </c>
      <c r="I2" t="str">
        <f>IF(CD2="Yes","Married filing Jointly","Single")</f>
        <v>Married filing Jointly</v>
      </c>
      <c r="J2" s="22">
        <v>183147</v>
      </c>
      <c r="K2">
        <f>(CG2+CH2)/100</f>
        <v>0</v>
      </c>
      <c r="L2">
        <f>(CI2+CJ2)/100</f>
        <v>0</v>
      </c>
      <c r="M2">
        <v>3570</v>
      </c>
      <c r="N2">
        <f>(CS2+CT2)/100</f>
        <v>0</v>
      </c>
      <c r="O2">
        <v>0</v>
      </c>
      <c r="P2">
        <f>(CU2+CV2)/100</f>
        <v>0</v>
      </c>
      <c r="Q2">
        <v>0</v>
      </c>
      <c r="R2">
        <v>19500</v>
      </c>
      <c r="S2">
        <v>114512</v>
      </c>
      <c r="T2">
        <v>13956</v>
      </c>
      <c r="U2">
        <f>CZ2/100</f>
        <v>0</v>
      </c>
      <c r="V2">
        <f>BY2/100</f>
        <v>0</v>
      </c>
      <c r="W2">
        <f>DA2/100</f>
        <v>0</v>
      </c>
      <c r="X2">
        <v>50000</v>
      </c>
      <c r="Y2">
        <f>DC2/100</f>
        <v>0</v>
      </c>
      <c r="Z2">
        <f>DD2/100</f>
        <v>0</v>
      </c>
      <c r="AA2" t="str">
        <f t="shared" ref="AA2" si="0">IF(DE2&lt;&gt;"",DE2,IF(BP2="Single (never married)","Single",BP2))</f>
        <v>Single</v>
      </c>
      <c r="AB2">
        <v>10115</v>
      </c>
      <c r="AC2">
        <f>(DH2+DI2)/100</f>
        <v>0</v>
      </c>
      <c r="AD2">
        <f>(DJ2+DK2)/100</f>
        <v>0</v>
      </c>
      <c r="AE2">
        <f>((DL2-DM2)+(DN2-DO2)+(DP2-DQ2)+(DR2-DS2))/100</f>
        <v>0</v>
      </c>
      <c r="AF2">
        <f>(DT2+DU2)/100</f>
        <v>0</v>
      </c>
      <c r="AG2">
        <f>DV2/100</f>
        <v>0</v>
      </c>
      <c r="AH2">
        <f>(DW2+DX2)/100</f>
        <v>0</v>
      </c>
      <c r="AI2">
        <v>0</v>
      </c>
      <c r="AJ2">
        <f>(DY2+DZ2)/100</f>
        <v>0</v>
      </c>
      <c r="AK2">
        <f t="shared" ref="AK2:AR2" si="1">EA2/100</f>
        <v>0</v>
      </c>
      <c r="AL2">
        <f t="shared" si="1"/>
        <v>0</v>
      </c>
      <c r="AM2">
        <f t="shared" si="1"/>
        <v>0</v>
      </c>
      <c r="AN2">
        <f t="shared" si="1"/>
        <v>0</v>
      </c>
      <c r="AO2">
        <f t="shared" si="1"/>
        <v>0</v>
      </c>
      <c r="AP2">
        <f t="shared" si="1"/>
        <v>0</v>
      </c>
      <c r="AQ2">
        <f t="shared" si="1"/>
        <v>0</v>
      </c>
      <c r="AR2">
        <f t="shared" si="1"/>
        <v>0</v>
      </c>
      <c r="AS2">
        <f>(EI2+EJ2)</f>
        <v>0</v>
      </c>
      <c r="AT2" t="str">
        <f t="shared" ref="AT2" si="2">IF(DE2&lt;&gt;"",DE2,IF(BP2="Single (never married)","Single",BP2))</f>
        <v>Single</v>
      </c>
      <c r="AU2" s="45">
        <v>38754</v>
      </c>
      <c r="AV2" t="str">
        <f>IF(EL2=0,"No",EL2)</f>
        <v>No</v>
      </c>
      <c r="AW2" t="str">
        <f>IF(OR(EB2&lt;&gt;0,ED2&lt;&gt;0),"Yes","No")</f>
        <v>No</v>
      </c>
      <c r="AX2" t="s">
        <v>138</v>
      </c>
      <c r="AY2" s="87" t="s">
        <v>139</v>
      </c>
      <c r="AZ2" s="25">
        <v>-1500</v>
      </c>
      <c r="BA2" t="s">
        <v>137</v>
      </c>
      <c r="BB2" t="s">
        <v>137</v>
      </c>
      <c r="BH2" s="83">
        <v>3170096</v>
      </c>
      <c r="BI2" s="83" t="s">
        <v>140</v>
      </c>
      <c r="BJ2" s="84" t="s">
        <v>141</v>
      </c>
      <c r="BK2" s="83" t="s">
        <v>142</v>
      </c>
      <c r="BL2" s="83" t="s">
        <v>143</v>
      </c>
      <c r="BM2" s="83" t="s">
        <v>138</v>
      </c>
      <c r="BN2" s="83" t="s">
        <v>138</v>
      </c>
      <c r="BO2" s="83" t="s">
        <v>144</v>
      </c>
      <c r="BP2" s="83" t="s">
        <v>145</v>
      </c>
      <c r="BQ2" s="83" t="s">
        <v>138</v>
      </c>
      <c r="BR2" s="83">
        <v>4</v>
      </c>
      <c r="BS2" s="83"/>
      <c r="BT2" s="85">
        <v>27576</v>
      </c>
      <c r="BU2" s="83"/>
      <c r="BV2" s="83" t="s">
        <v>138</v>
      </c>
      <c r="BW2" s="83"/>
      <c r="BX2" s="83">
        <v>0</v>
      </c>
      <c r="BY2" s="83"/>
      <c r="BZ2" s="83"/>
      <c r="CA2" s="83" t="s">
        <v>146</v>
      </c>
      <c r="CB2" s="83"/>
      <c r="CC2" s="83"/>
      <c r="CD2" s="83" t="s">
        <v>137</v>
      </c>
      <c r="CE2" s="83">
        <v>4530000</v>
      </c>
      <c r="CF2" s="83"/>
      <c r="CG2" s="83">
        <v>0</v>
      </c>
      <c r="CH2" s="83"/>
      <c r="CI2" s="83">
        <v>0</v>
      </c>
      <c r="CJ2" s="83"/>
      <c r="CK2" s="83">
        <v>0</v>
      </c>
      <c r="CL2" s="83">
        <v>0</v>
      </c>
      <c r="CM2" s="83">
        <v>0</v>
      </c>
      <c r="CN2" s="83">
        <v>0</v>
      </c>
      <c r="CO2" s="83"/>
      <c r="CP2" s="83"/>
      <c r="CQ2" s="83"/>
      <c r="CR2" s="83"/>
      <c r="CS2" s="83">
        <v>0</v>
      </c>
      <c r="CT2" s="83"/>
      <c r="CU2" s="83">
        <v>0</v>
      </c>
      <c r="CV2" s="83"/>
      <c r="CW2" s="83">
        <v>0</v>
      </c>
      <c r="CX2" s="83"/>
      <c r="CY2" s="83">
        <v>4530000</v>
      </c>
      <c r="CZ2" s="83"/>
      <c r="DA2" s="83">
        <v>0</v>
      </c>
      <c r="DB2" s="83">
        <v>100000</v>
      </c>
      <c r="DC2" s="83">
        <v>0</v>
      </c>
      <c r="DD2" s="83">
        <v>0</v>
      </c>
      <c r="DE2" s="83"/>
      <c r="DF2" s="83"/>
      <c r="DG2" s="83"/>
      <c r="DH2" s="83"/>
      <c r="DI2" s="83"/>
      <c r="DJ2" s="83"/>
      <c r="DK2" s="83"/>
      <c r="DL2" s="83"/>
      <c r="DM2" s="83"/>
      <c r="DN2" s="83"/>
      <c r="DO2" s="83"/>
      <c r="DP2" s="83"/>
      <c r="DQ2" s="83"/>
      <c r="DR2" s="83"/>
      <c r="DS2" s="83"/>
      <c r="DT2" s="83"/>
      <c r="DU2" s="83"/>
      <c r="DV2" s="83"/>
      <c r="DW2" s="83"/>
      <c r="DX2" s="83"/>
      <c r="DY2" s="83"/>
      <c r="DZ2" s="83"/>
      <c r="EA2" s="83"/>
      <c r="EB2" s="83"/>
      <c r="EC2" s="83"/>
      <c r="ED2" s="83"/>
      <c r="EE2" s="83"/>
      <c r="EF2" s="83">
        <v>0</v>
      </c>
      <c r="EG2" s="83">
        <v>0</v>
      </c>
      <c r="EH2" s="83">
        <v>0</v>
      </c>
      <c r="EI2" s="83"/>
      <c r="EJ2" s="83"/>
      <c r="EK2" s="85">
        <v>38835</v>
      </c>
      <c r="EL2" s="83"/>
      <c r="EM2" s="83"/>
      <c r="EN2" s="83"/>
      <c r="EO2" s="83" t="s">
        <v>146</v>
      </c>
    </row>
    <row r="3" spans="1:145" x14ac:dyDescent="0.2">
      <c r="C3" s="45"/>
      <c r="D3" s="45"/>
      <c r="J3" s="22"/>
      <c r="AY3" s="87"/>
      <c r="BH3" s="83"/>
      <c r="BI3" s="83"/>
      <c r="BJ3" s="84"/>
      <c r="BK3" s="83"/>
      <c r="BL3" s="83"/>
      <c r="BM3" s="83"/>
      <c r="BN3" s="83"/>
      <c r="BO3" s="83"/>
      <c r="BP3" s="83"/>
      <c r="BQ3" s="83"/>
      <c r="BR3" s="83"/>
      <c r="BS3" s="83"/>
      <c r="BT3" s="85"/>
      <c r="BU3" s="85"/>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c r="DD3" s="83"/>
      <c r="DE3" s="83"/>
      <c r="DF3" s="83"/>
      <c r="DG3" s="83"/>
      <c r="DH3" s="83"/>
      <c r="DI3" s="83"/>
      <c r="DJ3" s="83"/>
      <c r="DK3" s="83"/>
      <c r="DL3" s="83"/>
      <c r="DM3" s="83"/>
      <c r="DN3" s="83"/>
      <c r="DO3" s="83"/>
      <c r="DP3" s="83"/>
      <c r="DQ3" s="83"/>
      <c r="DR3" s="83"/>
      <c r="DS3" s="83"/>
      <c r="DT3" s="83"/>
      <c r="DU3" s="83"/>
      <c r="DV3" s="83"/>
      <c r="DW3" s="83"/>
      <c r="DX3" s="83"/>
      <c r="DY3" s="83"/>
      <c r="DZ3" s="83"/>
      <c r="EA3" s="83"/>
      <c r="EB3" s="83"/>
      <c r="EC3" s="83"/>
      <c r="ED3" s="83"/>
      <c r="EE3" s="83"/>
      <c r="EF3" s="83"/>
      <c r="EG3" s="83"/>
      <c r="EH3" s="83"/>
      <c r="EI3" s="83"/>
      <c r="EJ3" s="83"/>
      <c r="EK3" s="85"/>
      <c r="EL3" s="83"/>
      <c r="EM3" s="83"/>
      <c r="EN3" s="83"/>
      <c r="EO3" s="83"/>
    </row>
    <row r="4" spans="1:145" x14ac:dyDescent="0.2">
      <c r="C4" s="45"/>
      <c r="D4" s="45"/>
      <c r="J4" s="22"/>
      <c r="AY4" s="87"/>
      <c r="BH4" s="83"/>
      <c r="BI4" s="83"/>
      <c r="BJ4" s="84"/>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c r="DD4" s="83"/>
      <c r="DE4" s="83"/>
      <c r="DF4" s="83"/>
      <c r="DG4" s="83"/>
      <c r="DH4" s="83"/>
      <c r="DI4" s="83"/>
      <c r="DJ4" s="83"/>
      <c r="DK4" s="83"/>
      <c r="DL4" s="83"/>
      <c r="DM4" s="83"/>
      <c r="DN4" s="83"/>
      <c r="DO4" s="83"/>
      <c r="DP4" s="83"/>
      <c r="DQ4" s="83"/>
      <c r="DR4" s="83"/>
      <c r="DS4" s="83"/>
      <c r="DT4" s="83"/>
      <c r="DU4" s="83"/>
      <c r="DV4" s="83"/>
      <c r="DW4" s="83"/>
      <c r="DX4" s="83"/>
      <c r="DY4" s="83"/>
      <c r="DZ4" s="83"/>
      <c r="EA4" s="83"/>
      <c r="EB4" s="83"/>
      <c r="EC4" s="83"/>
      <c r="ED4" s="83"/>
      <c r="EE4" s="83"/>
      <c r="EF4" s="83"/>
      <c r="EG4" s="83"/>
      <c r="EH4" s="83"/>
      <c r="EI4" s="83"/>
      <c r="EJ4" s="83"/>
      <c r="EK4" s="85"/>
      <c r="EL4" s="83"/>
      <c r="EM4" s="83"/>
      <c r="EN4" s="83"/>
      <c r="EO4" s="83"/>
    </row>
    <row r="5" spans="1:145" x14ac:dyDescent="0.2">
      <c r="C5" s="45"/>
      <c r="D5" s="45"/>
      <c r="J5" s="22"/>
      <c r="AY5" s="87"/>
      <c r="BH5" s="83"/>
      <c r="BI5" s="83"/>
      <c r="BJ5" s="84"/>
      <c r="BK5" s="83"/>
      <c r="BL5" s="83"/>
      <c r="BM5" s="83"/>
      <c r="BN5" s="83"/>
      <c r="BO5" s="83"/>
      <c r="BP5" s="83"/>
      <c r="BQ5" s="83"/>
      <c r="BR5" s="83"/>
      <c r="BS5" s="83"/>
      <c r="BT5" s="85"/>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c r="DD5" s="83"/>
      <c r="DE5" s="83"/>
      <c r="DF5" s="83"/>
      <c r="DG5" s="83"/>
      <c r="DH5" s="83"/>
      <c r="DI5" s="83"/>
      <c r="DJ5" s="83"/>
      <c r="DK5" s="83"/>
      <c r="DL5" s="83"/>
      <c r="DM5" s="83"/>
      <c r="DN5" s="83"/>
      <c r="DO5" s="83"/>
      <c r="DP5" s="83"/>
      <c r="DQ5" s="83"/>
      <c r="DR5" s="83"/>
      <c r="DS5" s="83"/>
      <c r="DT5" s="83"/>
      <c r="DU5" s="83"/>
      <c r="DV5" s="83"/>
      <c r="DW5" s="83"/>
      <c r="DX5" s="83"/>
      <c r="DY5" s="83"/>
      <c r="DZ5" s="83"/>
      <c r="EA5" s="83"/>
      <c r="EB5" s="83"/>
      <c r="EC5" s="83"/>
      <c r="ED5" s="83"/>
      <c r="EE5" s="83"/>
      <c r="EF5" s="83"/>
      <c r="EG5" s="83"/>
      <c r="EH5" s="83"/>
      <c r="EI5" s="83"/>
      <c r="EJ5" s="83"/>
      <c r="EK5" s="85"/>
      <c r="EL5" s="83"/>
      <c r="EM5" s="83"/>
      <c r="EN5" s="83"/>
      <c r="EO5" s="83"/>
    </row>
    <row r="6" spans="1:145" x14ac:dyDescent="0.2">
      <c r="C6" s="45"/>
      <c r="D6" s="45"/>
      <c r="J6" s="22"/>
      <c r="AY6" s="87"/>
      <c r="BH6" s="83"/>
      <c r="BI6" s="83"/>
      <c r="BJ6" s="84"/>
      <c r="BK6" s="83"/>
      <c r="BL6" s="83"/>
      <c r="BM6" s="83"/>
      <c r="BN6" s="83"/>
      <c r="BO6" s="83"/>
      <c r="BP6" s="83"/>
      <c r="BQ6" s="83"/>
      <c r="BR6" s="83"/>
      <c r="BS6" s="83"/>
      <c r="BT6" s="85"/>
      <c r="BU6" s="85"/>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c r="DD6" s="83"/>
      <c r="DE6" s="83"/>
      <c r="DF6" s="83"/>
      <c r="DG6" s="83"/>
      <c r="DH6" s="83"/>
      <c r="DI6" s="83"/>
      <c r="DJ6" s="83"/>
      <c r="DK6" s="83"/>
      <c r="DL6" s="83"/>
      <c r="DM6" s="83"/>
      <c r="DN6" s="83"/>
      <c r="DO6" s="83"/>
      <c r="DP6" s="83"/>
      <c r="DQ6" s="83"/>
      <c r="DR6" s="83"/>
      <c r="DS6" s="83"/>
      <c r="DT6" s="83"/>
      <c r="DU6" s="83"/>
      <c r="DV6" s="83"/>
      <c r="DW6" s="83"/>
      <c r="DX6" s="83"/>
      <c r="DY6" s="83"/>
      <c r="DZ6" s="83"/>
      <c r="EA6" s="83"/>
      <c r="EB6" s="83"/>
      <c r="EC6" s="83"/>
      <c r="ED6" s="83"/>
      <c r="EE6" s="83"/>
      <c r="EF6" s="83"/>
      <c r="EG6" s="83"/>
      <c r="EH6" s="83"/>
      <c r="EI6" s="83"/>
      <c r="EJ6" s="83"/>
      <c r="EK6" s="85"/>
      <c r="EL6" s="83"/>
      <c r="EM6" s="83"/>
      <c r="EN6" s="83"/>
      <c r="EO6" s="83"/>
    </row>
    <row r="7" spans="1:145" x14ac:dyDescent="0.2">
      <c r="C7" s="45"/>
      <c r="D7" s="45"/>
      <c r="J7" s="22"/>
      <c r="AY7" s="87"/>
      <c r="BH7" s="83"/>
      <c r="BI7" s="83"/>
      <c r="BJ7" s="84"/>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c r="DD7" s="83"/>
      <c r="DE7" s="83"/>
      <c r="DF7" s="83"/>
      <c r="DG7" s="83"/>
      <c r="DH7" s="83"/>
      <c r="DI7" s="83"/>
      <c r="DJ7" s="83"/>
      <c r="DK7" s="83"/>
      <c r="DL7" s="83"/>
      <c r="DM7" s="83"/>
      <c r="DN7" s="83"/>
      <c r="DO7" s="83"/>
      <c r="DP7" s="83"/>
      <c r="DQ7" s="83"/>
      <c r="DR7" s="83"/>
      <c r="DS7" s="83"/>
      <c r="DT7" s="83"/>
      <c r="DU7" s="83"/>
      <c r="DV7" s="83"/>
      <c r="DW7" s="83"/>
      <c r="DX7" s="83"/>
      <c r="DY7" s="83"/>
      <c r="DZ7" s="83"/>
      <c r="EA7" s="83"/>
      <c r="EB7" s="83"/>
      <c r="EC7" s="83"/>
      <c r="ED7" s="83"/>
      <c r="EE7" s="83"/>
      <c r="EF7" s="83"/>
      <c r="EG7" s="83"/>
      <c r="EH7" s="83"/>
      <c r="EI7" s="83"/>
      <c r="EJ7" s="83"/>
      <c r="EK7" s="85"/>
      <c r="EL7" s="83"/>
      <c r="EM7" s="83"/>
      <c r="EN7" s="83"/>
      <c r="EO7" s="83"/>
    </row>
    <row r="8" spans="1:145" x14ac:dyDescent="0.2">
      <c r="C8" s="45"/>
      <c r="D8" s="45"/>
      <c r="J8" s="22"/>
      <c r="AY8" s="87"/>
      <c r="BH8" s="83"/>
      <c r="BI8" s="83"/>
      <c r="BJ8" s="84"/>
      <c r="BK8" s="83"/>
      <c r="BL8" s="83"/>
      <c r="BM8" s="83"/>
      <c r="BN8" s="83"/>
      <c r="BO8" s="83"/>
      <c r="BP8" s="83"/>
      <c r="BQ8" s="83"/>
      <c r="BR8" s="83"/>
      <c r="BS8" s="83"/>
      <c r="BT8" s="85"/>
      <c r="BU8" s="85"/>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c r="DD8" s="83"/>
      <c r="DE8" s="83"/>
      <c r="DF8" s="83"/>
      <c r="DG8" s="83"/>
      <c r="DH8" s="83"/>
      <c r="DI8" s="83"/>
      <c r="DJ8" s="83"/>
      <c r="DK8" s="83"/>
      <c r="DL8" s="83"/>
      <c r="DM8" s="83"/>
      <c r="DN8" s="83"/>
      <c r="DO8" s="83"/>
      <c r="DP8" s="83"/>
      <c r="DQ8" s="83"/>
      <c r="DR8" s="83"/>
      <c r="DS8" s="83"/>
      <c r="DT8" s="83"/>
      <c r="DU8" s="83"/>
      <c r="DV8" s="83"/>
      <c r="DW8" s="83"/>
      <c r="DX8" s="83"/>
      <c r="DY8" s="83"/>
      <c r="DZ8" s="83"/>
      <c r="EA8" s="83"/>
      <c r="EB8" s="83"/>
      <c r="EC8" s="83"/>
      <c r="ED8" s="83"/>
      <c r="EE8" s="83"/>
      <c r="EF8" s="83"/>
      <c r="EG8" s="83"/>
      <c r="EH8" s="83"/>
      <c r="EI8" s="83"/>
      <c r="EJ8" s="83"/>
      <c r="EK8" s="85"/>
      <c r="EL8" s="83"/>
      <c r="EM8" s="83"/>
      <c r="EN8" s="83"/>
      <c r="EO8" s="83"/>
    </row>
    <row r="9" spans="1:145" x14ac:dyDescent="0.2">
      <c r="C9" s="45"/>
      <c r="D9" s="45"/>
      <c r="J9" s="22"/>
      <c r="AY9" s="87"/>
      <c r="BH9" s="83"/>
      <c r="BI9" s="83"/>
      <c r="BJ9" s="84"/>
      <c r="BK9" s="83"/>
      <c r="BL9" s="83"/>
      <c r="BM9" s="83"/>
      <c r="BN9" s="83"/>
      <c r="BO9" s="83"/>
      <c r="BP9" s="83"/>
      <c r="BQ9" s="83"/>
      <c r="BR9" s="83"/>
      <c r="BS9" s="83"/>
      <c r="BT9" s="85"/>
      <c r="BU9" s="85"/>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c r="DD9" s="83"/>
      <c r="DE9" s="83"/>
      <c r="DF9" s="83"/>
      <c r="DG9" s="83"/>
      <c r="DH9" s="83"/>
      <c r="DI9" s="83"/>
      <c r="DJ9" s="83"/>
      <c r="DK9" s="83"/>
      <c r="DL9" s="83"/>
      <c r="DM9" s="83"/>
      <c r="DN9" s="83"/>
      <c r="DO9" s="83"/>
      <c r="DP9" s="83"/>
      <c r="DQ9" s="83"/>
      <c r="DR9" s="83"/>
      <c r="DS9" s="83"/>
      <c r="DT9" s="83"/>
      <c r="DU9" s="83"/>
      <c r="DV9" s="83"/>
      <c r="DW9" s="83"/>
      <c r="DX9" s="83"/>
      <c r="DY9" s="83"/>
      <c r="DZ9" s="83"/>
      <c r="EA9" s="83"/>
      <c r="EB9" s="83"/>
      <c r="EC9" s="83"/>
      <c r="ED9" s="83"/>
      <c r="EE9" s="83"/>
      <c r="EF9" s="83"/>
      <c r="EG9" s="83"/>
      <c r="EH9" s="83"/>
      <c r="EI9" s="83"/>
      <c r="EJ9" s="83"/>
      <c r="EK9" s="85"/>
      <c r="EL9" s="83"/>
      <c r="EM9" s="83"/>
      <c r="EN9" s="83"/>
      <c r="EO9" s="83"/>
    </row>
    <row r="10" spans="1:145" x14ac:dyDescent="0.2">
      <c r="C10" s="45"/>
      <c r="D10" s="45"/>
      <c r="J10" s="22"/>
      <c r="AY10" s="87"/>
      <c r="BH10" s="83"/>
      <c r="BI10" s="83"/>
      <c r="BJ10" s="84"/>
      <c r="BK10" s="83"/>
      <c r="BL10" s="83"/>
      <c r="BM10" s="83"/>
      <c r="BN10" s="83"/>
      <c r="BO10" s="83"/>
      <c r="BP10" s="83"/>
      <c r="BQ10" s="83"/>
      <c r="BR10" s="83"/>
      <c r="BS10" s="83"/>
      <c r="BT10" s="85"/>
      <c r="BU10" s="85"/>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c r="DD10" s="83"/>
      <c r="DE10" s="83"/>
      <c r="DF10" s="83"/>
      <c r="DG10" s="83"/>
      <c r="DH10" s="83"/>
      <c r="DI10" s="83"/>
      <c r="DJ10" s="83"/>
      <c r="DK10" s="83"/>
      <c r="DL10" s="83"/>
      <c r="DM10" s="83"/>
      <c r="DN10" s="83"/>
      <c r="DO10" s="83"/>
      <c r="DP10" s="83"/>
      <c r="DQ10" s="83"/>
      <c r="DR10" s="83"/>
      <c r="DS10" s="83"/>
      <c r="DT10" s="83"/>
      <c r="DU10" s="83"/>
      <c r="DV10" s="83"/>
      <c r="DW10" s="83"/>
      <c r="DX10" s="83"/>
      <c r="DY10" s="83"/>
      <c r="DZ10" s="83"/>
      <c r="EA10" s="83"/>
      <c r="EB10" s="83"/>
      <c r="EC10" s="83"/>
      <c r="ED10" s="83"/>
      <c r="EE10" s="83"/>
      <c r="EF10" s="83"/>
      <c r="EG10" s="83"/>
      <c r="EH10" s="83"/>
      <c r="EI10" s="83"/>
      <c r="EJ10" s="83"/>
      <c r="EK10" s="85"/>
      <c r="EL10" s="83"/>
      <c r="EM10" s="83"/>
      <c r="EN10" s="83"/>
      <c r="EO10" s="83"/>
    </row>
    <row r="11" spans="1:145" x14ac:dyDescent="0.2">
      <c r="C11" s="45"/>
      <c r="D11" s="45"/>
      <c r="J11" s="22"/>
      <c r="AY11" s="87"/>
      <c r="BH11" s="83"/>
      <c r="BI11" s="83"/>
      <c r="BJ11" s="84"/>
      <c r="BK11" s="83"/>
      <c r="BL11" s="83"/>
      <c r="BM11" s="83"/>
      <c r="BN11" s="83"/>
      <c r="BO11" s="83"/>
      <c r="BP11" s="83"/>
      <c r="BQ11" s="83"/>
      <c r="BR11" s="83"/>
      <c r="BS11" s="83"/>
      <c r="BT11" s="85"/>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c r="DD11" s="83"/>
      <c r="DE11" s="83"/>
      <c r="DF11" s="83"/>
      <c r="DG11" s="83"/>
      <c r="DH11" s="83"/>
      <c r="DI11" s="83"/>
      <c r="DJ11" s="83"/>
      <c r="DK11" s="83"/>
      <c r="DL11" s="83"/>
      <c r="DM11" s="83"/>
      <c r="DN11" s="83"/>
      <c r="DO11" s="83"/>
      <c r="DP11" s="83"/>
      <c r="DQ11" s="83"/>
      <c r="DR11" s="83"/>
      <c r="DS11" s="83"/>
      <c r="DT11" s="83"/>
      <c r="DU11" s="83"/>
      <c r="DV11" s="83"/>
      <c r="DW11" s="83"/>
      <c r="DX11" s="83"/>
      <c r="DY11" s="83"/>
      <c r="DZ11" s="83"/>
      <c r="EA11" s="83"/>
      <c r="EB11" s="83"/>
      <c r="EC11" s="83"/>
      <c r="ED11" s="83"/>
      <c r="EE11" s="83"/>
      <c r="EF11" s="83"/>
      <c r="EG11" s="83"/>
      <c r="EH11" s="83"/>
      <c r="EI11" s="83"/>
      <c r="EJ11" s="83"/>
      <c r="EK11" s="85"/>
      <c r="EL11" s="83"/>
      <c r="EM11" s="83"/>
      <c r="EN11" s="83"/>
      <c r="EO11" s="83"/>
    </row>
    <row r="12" spans="1:145" x14ac:dyDescent="0.2">
      <c r="C12" s="45"/>
      <c r="D12" s="45"/>
      <c r="J12" s="22"/>
      <c r="AY12" s="87"/>
      <c r="BH12" s="83"/>
      <c r="BI12" s="83"/>
      <c r="BJ12" s="84"/>
      <c r="BK12" s="83"/>
      <c r="BL12" s="83"/>
      <c r="BM12" s="83"/>
      <c r="BN12" s="83"/>
      <c r="BO12" s="83"/>
      <c r="BP12" s="83"/>
      <c r="BQ12" s="83"/>
      <c r="BR12" s="83"/>
      <c r="BS12" s="83"/>
      <c r="BT12" s="85"/>
      <c r="BU12" s="85"/>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c r="DD12" s="83"/>
      <c r="DE12" s="83"/>
      <c r="DF12" s="83"/>
      <c r="DG12" s="83"/>
      <c r="DH12" s="83"/>
      <c r="DI12" s="83"/>
      <c r="DJ12" s="83"/>
      <c r="DK12" s="83"/>
      <c r="DL12" s="83"/>
      <c r="DM12" s="83"/>
      <c r="DN12" s="83"/>
      <c r="DO12" s="83"/>
      <c r="DP12" s="83"/>
      <c r="DQ12" s="83"/>
      <c r="DR12" s="83"/>
      <c r="DS12" s="83"/>
      <c r="DT12" s="83"/>
      <c r="DU12" s="83"/>
      <c r="DV12" s="83"/>
      <c r="DW12" s="83"/>
      <c r="DX12" s="83"/>
      <c r="DY12" s="83"/>
      <c r="DZ12" s="83"/>
      <c r="EA12" s="83"/>
      <c r="EB12" s="83"/>
      <c r="EC12" s="83"/>
      <c r="ED12" s="83"/>
      <c r="EE12" s="83"/>
      <c r="EF12" s="83"/>
      <c r="EG12" s="83"/>
      <c r="EH12" s="83"/>
      <c r="EI12" s="83"/>
      <c r="EJ12" s="83"/>
      <c r="EK12" s="85"/>
      <c r="EL12" s="83"/>
      <c r="EM12" s="83"/>
      <c r="EN12" s="83"/>
      <c r="EO12" s="83"/>
    </row>
    <row r="13" spans="1:145" x14ac:dyDescent="0.2">
      <c r="C13" s="45"/>
      <c r="D13" s="45"/>
      <c r="J13" s="22"/>
      <c r="AY13" s="87"/>
      <c r="BH13" s="83"/>
      <c r="BI13" s="83"/>
      <c r="BJ13" s="84"/>
      <c r="BK13" s="83"/>
      <c r="BL13" s="83"/>
      <c r="BM13" s="83"/>
      <c r="BN13" s="83"/>
      <c r="BO13" s="83"/>
      <c r="BP13" s="83"/>
      <c r="BQ13" s="83"/>
      <c r="BR13" s="83"/>
      <c r="BS13" s="83"/>
      <c r="BT13" s="85"/>
      <c r="BU13" s="85"/>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c r="DD13" s="83"/>
      <c r="DE13" s="83"/>
      <c r="DF13" s="83"/>
      <c r="DG13" s="83"/>
      <c r="DH13" s="83"/>
      <c r="DI13" s="83"/>
      <c r="DJ13" s="83"/>
      <c r="DK13" s="83"/>
      <c r="DL13" s="83"/>
      <c r="DM13" s="83"/>
      <c r="DN13" s="83"/>
      <c r="DO13" s="83"/>
      <c r="DP13" s="83"/>
      <c r="DQ13" s="83"/>
      <c r="DR13" s="83"/>
      <c r="DS13" s="83"/>
      <c r="DT13" s="83"/>
      <c r="DU13" s="83"/>
      <c r="DV13" s="83"/>
      <c r="DW13" s="83"/>
      <c r="DX13" s="83"/>
      <c r="DY13" s="83"/>
      <c r="DZ13" s="83"/>
      <c r="EA13" s="83"/>
      <c r="EB13" s="83"/>
      <c r="EC13" s="83"/>
      <c r="ED13" s="83"/>
      <c r="EE13" s="83"/>
      <c r="EF13" s="83"/>
      <c r="EG13" s="83"/>
      <c r="EH13" s="83"/>
      <c r="EI13" s="83"/>
      <c r="EJ13" s="83"/>
      <c r="EK13" s="85"/>
      <c r="EL13" s="83"/>
      <c r="EM13" s="83"/>
      <c r="EN13" s="83"/>
      <c r="EO13" s="83"/>
    </row>
    <row r="14" spans="1:145" x14ac:dyDescent="0.2">
      <c r="C14" s="45"/>
      <c r="D14" s="45"/>
      <c r="J14" s="22"/>
      <c r="AY14" s="87"/>
      <c r="BH14" s="83"/>
      <c r="BI14" s="83"/>
      <c r="BJ14" s="84"/>
      <c r="BK14" s="83"/>
      <c r="BL14" s="83"/>
      <c r="BM14" s="83"/>
      <c r="BN14" s="83"/>
      <c r="BO14" s="83"/>
      <c r="BP14" s="83"/>
      <c r="BQ14" s="83"/>
      <c r="BR14" s="83"/>
      <c r="BS14" s="83"/>
      <c r="BT14" s="85"/>
      <c r="BU14" s="85"/>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c r="DD14" s="83"/>
      <c r="DE14" s="83"/>
      <c r="DF14" s="83"/>
      <c r="DG14" s="83"/>
      <c r="DH14" s="83"/>
      <c r="DI14" s="83"/>
      <c r="DJ14" s="83"/>
      <c r="DK14" s="83"/>
      <c r="DL14" s="83"/>
      <c r="DM14" s="83"/>
      <c r="DN14" s="83"/>
      <c r="DO14" s="83"/>
      <c r="DP14" s="83"/>
      <c r="DQ14" s="83"/>
      <c r="DR14" s="83"/>
      <c r="DS14" s="83"/>
      <c r="DT14" s="83"/>
      <c r="DU14" s="83"/>
      <c r="DV14" s="83"/>
      <c r="DW14" s="83"/>
      <c r="DX14" s="83"/>
      <c r="DY14" s="83"/>
      <c r="DZ14" s="83"/>
      <c r="EA14" s="83"/>
      <c r="EB14" s="83"/>
      <c r="EC14" s="83"/>
      <c r="ED14" s="83"/>
      <c r="EE14" s="83"/>
      <c r="EF14" s="83"/>
      <c r="EG14" s="83"/>
      <c r="EH14" s="83"/>
      <c r="EI14" s="83"/>
      <c r="EJ14" s="83"/>
      <c r="EK14" s="85"/>
      <c r="EL14" s="83"/>
      <c r="EM14" s="83"/>
      <c r="EN14" s="83"/>
      <c r="EO14" s="83"/>
    </row>
    <row r="15" spans="1:145" x14ac:dyDescent="0.2">
      <c r="C15" s="45"/>
      <c r="D15" s="45"/>
      <c r="J15" s="22"/>
      <c r="AY15" s="87"/>
      <c r="BH15" s="83"/>
      <c r="BI15" s="83"/>
      <c r="BJ15" s="84"/>
      <c r="BK15" s="83"/>
      <c r="BL15" s="83"/>
      <c r="BM15" s="83"/>
      <c r="BN15" s="83"/>
      <c r="BO15" s="83"/>
      <c r="BP15" s="83"/>
      <c r="BQ15" s="83"/>
      <c r="BR15" s="83"/>
      <c r="BS15" s="83"/>
      <c r="BT15" s="85"/>
      <c r="BU15" s="85"/>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c r="DD15" s="83"/>
      <c r="DE15" s="83"/>
      <c r="DF15" s="83"/>
      <c r="DG15" s="83"/>
      <c r="DH15" s="83"/>
      <c r="DI15" s="83"/>
      <c r="DJ15" s="83"/>
      <c r="DK15" s="83"/>
      <c r="DL15" s="83"/>
      <c r="DM15" s="83"/>
      <c r="DN15" s="83"/>
      <c r="DO15" s="83"/>
      <c r="DP15" s="83"/>
      <c r="DQ15" s="83"/>
      <c r="DR15" s="83"/>
      <c r="DS15" s="83"/>
      <c r="DT15" s="83"/>
      <c r="DU15" s="83"/>
      <c r="DV15" s="83"/>
      <c r="DW15" s="83"/>
      <c r="DX15" s="83"/>
      <c r="DY15" s="83"/>
      <c r="DZ15" s="83"/>
      <c r="EA15" s="83"/>
      <c r="EB15" s="83"/>
      <c r="EC15" s="83"/>
      <c r="ED15" s="83"/>
      <c r="EE15" s="83"/>
      <c r="EF15" s="83"/>
      <c r="EG15" s="83"/>
      <c r="EH15" s="83"/>
      <c r="EI15" s="83"/>
      <c r="EJ15" s="83"/>
      <c r="EK15" s="85"/>
      <c r="EL15" s="83"/>
      <c r="EM15" s="83"/>
      <c r="EN15" s="83"/>
      <c r="EO15" s="83"/>
    </row>
    <row r="16" spans="1:145" x14ac:dyDescent="0.2">
      <c r="C16" s="45"/>
      <c r="D16" s="45"/>
      <c r="J16" s="22"/>
      <c r="AY16" s="87"/>
      <c r="BH16" s="83"/>
      <c r="BI16" s="83"/>
      <c r="BJ16" s="84"/>
      <c r="BK16" s="83"/>
      <c r="BL16" s="83"/>
      <c r="BM16" s="83"/>
      <c r="BN16" s="83"/>
      <c r="BO16" s="83"/>
      <c r="BP16" s="83"/>
      <c r="BQ16" s="83"/>
      <c r="BR16" s="83"/>
      <c r="BS16" s="83"/>
      <c r="BT16" s="85"/>
      <c r="BU16" s="85"/>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c r="DD16" s="83"/>
      <c r="DE16" s="83"/>
      <c r="DF16" s="83"/>
      <c r="DG16" s="83"/>
      <c r="DH16" s="83"/>
      <c r="DI16" s="83"/>
      <c r="DJ16" s="83"/>
      <c r="DK16" s="83"/>
      <c r="DL16" s="83"/>
      <c r="DM16" s="83"/>
      <c r="DN16" s="83"/>
      <c r="DO16" s="83"/>
      <c r="DP16" s="83"/>
      <c r="DQ16" s="83"/>
      <c r="DR16" s="83"/>
      <c r="DS16" s="83"/>
      <c r="DT16" s="83"/>
      <c r="DU16" s="83"/>
      <c r="DV16" s="83"/>
      <c r="DW16" s="83"/>
      <c r="DX16" s="83"/>
      <c r="DY16" s="83"/>
      <c r="DZ16" s="83"/>
      <c r="EA16" s="83"/>
      <c r="EB16" s="83"/>
      <c r="EC16" s="83"/>
      <c r="ED16" s="83"/>
      <c r="EE16" s="83"/>
      <c r="EF16" s="83"/>
      <c r="EG16" s="83"/>
      <c r="EH16" s="83"/>
      <c r="EI16" s="83"/>
      <c r="EJ16" s="83"/>
      <c r="EK16" s="85"/>
      <c r="EL16" s="83"/>
      <c r="EM16" s="83"/>
      <c r="EN16" s="83"/>
      <c r="EO16" s="83"/>
    </row>
    <row r="17" spans="3:145" x14ac:dyDescent="0.2">
      <c r="C17" s="45"/>
      <c r="D17" s="45"/>
      <c r="J17" s="22"/>
      <c r="AY17" s="87"/>
      <c r="BH17" s="83"/>
      <c r="BI17" s="83"/>
      <c r="BJ17" s="84"/>
      <c r="BK17" s="83"/>
      <c r="BL17" s="83"/>
      <c r="BM17" s="83"/>
      <c r="BN17" s="83"/>
      <c r="BO17" s="83"/>
      <c r="BP17" s="83"/>
      <c r="BQ17" s="83"/>
      <c r="BR17" s="83"/>
      <c r="BS17" s="83"/>
      <c r="BT17" s="85"/>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c r="DD17" s="83"/>
      <c r="DE17" s="83"/>
      <c r="DF17" s="83"/>
      <c r="DG17" s="83"/>
      <c r="DH17" s="83"/>
      <c r="DI17" s="83"/>
      <c r="DJ17" s="83"/>
      <c r="DK17" s="83"/>
      <c r="DL17" s="83"/>
      <c r="DM17" s="83"/>
      <c r="DN17" s="83"/>
      <c r="DO17" s="83"/>
      <c r="DP17" s="83"/>
      <c r="DQ17" s="83"/>
      <c r="DR17" s="83"/>
      <c r="DS17" s="83"/>
      <c r="DT17" s="83"/>
      <c r="DU17" s="83"/>
      <c r="DV17" s="83"/>
      <c r="DW17" s="83"/>
      <c r="DX17" s="83"/>
      <c r="DY17" s="83"/>
      <c r="DZ17" s="83"/>
      <c r="EA17" s="83"/>
      <c r="EB17" s="83"/>
      <c r="EC17" s="83"/>
      <c r="ED17" s="83"/>
      <c r="EE17" s="83"/>
      <c r="EF17" s="83"/>
      <c r="EG17" s="83"/>
      <c r="EH17" s="83"/>
      <c r="EI17" s="83"/>
      <c r="EJ17" s="83"/>
      <c r="EK17" s="85"/>
      <c r="EL17" s="83"/>
      <c r="EM17" s="83"/>
      <c r="EN17" s="83"/>
      <c r="EO17" s="83"/>
    </row>
    <row r="18" spans="3:145" x14ac:dyDescent="0.2">
      <c r="C18" s="45"/>
      <c r="D18" s="45"/>
      <c r="J18" s="22"/>
      <c r="AY18" s="87"/>
      <c r="BH18" s="83"/>
      <c r="BI18" s="83"/>
      <c r="BJ18" s="84"/>
      <c r="BK18" s="83"/>
      <c r="BL18" s="83"/>
      <c r="BM18" s="83"/>
      <c r="BN18" s="83"/>
      <c r="BO18" s="83"/>
      <c r="BP18" s="83"/>
      <c r="BQ18" s="83"/>
      <c r="BR18" s="83"/>
      <c r="BS18" s="83"/>
      <c r="BT18" s="85"/>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c r="DD18" s="83"/>
      <c r="DE18" s="83"/>
      <c r="DF18" s="83"/>
      <c r="DG18" s="83"/>
      <c r="DH18" s="83"/>
      <c r="DI18" s="83"/>
      <c r="DJ18" s="83"/>
      <c r="DK18" s="83"/>
      <c r="DL18" s="83"/>
      <c r="DM18" s="83"/>
      <c r="DN18" s="83"/>
      <c r="DO18" s="83"/>
      <c r="DP18" s="83"/>
      <c r="DQ18" s="83"/>
      <c r="DR18" s="83"/>
      <c r="DS18" s="83"/>
      <c r="DT18" s="83"/>
      <c r="DU18" s="83"/>
      <c r="DV18" s="83"/>
      <c r="DW18" s="83"/>
      <c r="DX18" s="83"/>
      <c r="DY18" s="83"/>
      <c r="DZ18" s="83"/>
      <c r="EA18" s="83"/>
      <c r="EB18" s="83"/>
      <c r="EC18" s="83"/>
      <c r="ED18" s="83"/>
      <c r="EE18" s="83"/>
      <c r="EF18" s="83"/>
      <c r="EG18" s="83"/>
      <c r="EH18" s="83"/>
      <c r="EI18" s="83"/>
      <c r="EJ18" s="83"/>
      <c r="EK18" s="85"/>
      <c r="EL18" s="83"/>
      <c r="EM18" s="83"/>
      <c r="EN18" s="83"/>
      <c r="EO18" s="83"/>
    </row>
    <row r="19" spans="3:145" x14ac:dyDescent="0.2">
      <c r="C19" s="45"/>
      <c r="D19" s="45"/>
      <c r="J19" s="22"/>
      <c r="AY19" s="87"/>
      <c r="BH19" s="83"/>
      <c r="BI19" s="83"/>
      <c r="BJ19" s="84"/>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c r="DD19" s="83"/>
      <c r="DE19" s="83"/>
      <c r="DF19" s="83"/>
      <c r="DG19" s="83"/>
      <c r="DH19" s="83"/>
      <c r="DI19" s="83"/>
      <c r="DJ19" s="83"/>
      <c r="DK19" s="83"/>
      <c r="DL19" s="83"/>
      <c r="DM19" s="83"/>
      <c r="DN19" s="83"/>
      <c r="DO19" s="83"/>
      <c r="DP19" s="83"/>
      <c r="DQ19" s="83"/>
      <c r="DR19" s="83"/>
      <c r="DS19" s="83"/>
      <c r="DT19" s="83"/>
      <c r="DU19" s="83"/>
      <c r="DV19" s="83"/>
      <c r="DW19" s="83"/>
      <c r="DX19" s="83"/>
      <c r="DY19" s="83"/>
      <c r="DZ19" s="83"/>
      <c r="EA19" s="83"/>
      <c r="EB19" s="83"/>
      <c r="EC19" s="83"/>
      <c r="ED19" s="83"/>
      <c r="EE19" s="83"/>
      <c r="EF19" s="83"/>
      <c r="EG19" s="83"/>
      <c r="EH19" s="83"/>
      <c r="EI19" s="83"/>
      <c r="EJ19" s="83"/>
      <c r="EK19" s="85"/>
      <c r="EL19" s="83"/>
      <c r="EM19" s="83"/>
      <c r="EN19" s="83"/>
      <c r="EO19" s="83"/>
    </row>
    <row r="20" spans="3:145" x14ac:dyDescent="0.2">
      <c r="C20" s="45"/>
      <c r="D20" s="45"/>
      <c r="J20" s="22"/>
      <c r="AY20" s="87"/>
      <c r="BH20" s="83"/>
      <c r="BI20" s="83"/>
      <c r="BJ20" s="84"/>
      <c r="BK20" s="83"/>
      <c r="BL20" s="83"/>
      <c r="BM20" s="83"/>
      <c r="BN20" s="83"/>
      <c r="BO20" s="83"/>
      <c r="BP20" s="83"/>
      <c r="BQ20" s="83"/>
      <c r="BR20" s="83"/>
      <c r="BS20" s="83"/>
      <c r="BT20" s="85"/>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c r="DD20" s="83"/>
      <c r="DE20" s="83"/>
      <c r="DF20" s="83"/>
      <c r="DG20" s="83"/>
      <c r="DH20" s="83"/>
      <c r="DI20" s="83"/>
      <c r="DJ20" s="83"/>
      <c r="DK20" s="83"/>
      <c r="DL20" s="83"/>
      <c r="DM20" s="83"/>
      <c r="DN20" s="83"/>
      <c r="DO20" s="83"/>
      <c r="DP20" s="83"/>
      <c r="DQ20" s="83"/>
      <c r="DR20" s="83"/>
      <c r="DS20" s="83"/>
      <c r="DT20" s="83"/>
      <c r="DU20" s="83"/>
      <c r="DV20" s="83"/>
      <c r="DW20" s="83"/>
      <c r="DX20" s="83"/>
      <c r="DY20" s="83"/>
      <c r="DZ20" s="83"/>
      <c r="EA20" s="83"/>
      <c r="EB20" s="83"/>
      <c r="EC20" s="83"/>
      <c r="ED20" s="83"/>
      <c r="EE20" s="83"/>
      <c r="EF20" s="83"/>
      <c r="EG20" s="83"/>
      <c r="EH20" s="83"/>
      <c r="EI20" s="83"/>
      <c r="EJ20" s="83"/>
      <c r="EK20" s="85"/>
      <c r="EL20" s="83"/>
      <c r="EM20" s="83"/>
      <c r="EN20" s="83"/>
      <c r="EO20" s="83"/>
    </row>
    <row r="21" spans="3:145" x14ac:dyDescent="0.2">
      <c r="C21" s="45"/>
      <c r="D21" s="45"/>
      <c r="J21" s="22"/>
      <c r="AY21" s="87"/>
      <c r="BH21" s="83"/>
      <c r="BI21" s="83"/>
      <c r="BJ21" s="84"/>
      <c r="BK21" s="83"/>
      <c r="BL21" s="83"/>
      <c r="BM21" s="83"/>
      <c r="BN21" s="83"/>
      <c r="BO21" s="83"/>
      <c r="BP21" s="83"/>
      <c r="BQ21" s="83"/>
      <c r="BR21" s="83"/>
      <c r="BS21" s="83"/>
      <c r="BT21" s="85"/>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c r="DD21" s="83"/>
      <c r="DE21" s="83"/>
      <c r="DF21" s="83"/>
      <c r="DG21" s="83"/>
      <c r="DH21" s="83"/>
      <c r="DI21" s="83"/>
      <c r="DJ21" s="83"/>
      <c r="DK21" s="83"/>
      <c r="DL21" s="83"/>
      <c r="DM21" s="83"/>
      <c r="DN21" s="83"/>
      <c r="DO21" s="83"/>
      <c r="DP21" s="83"/>
      <c r="DQ21" s="83"/>
      <c r="DR21" s="83"/>
      <c r="DS21" s="83"/>
      <c r="DT21" s="83"/>
      <c r="DU21" s="83"/>
      <c r="DV21" s="83"/>
      <c r="DW21" s="83"/>
      <c r="DX21" s="83"/>
      <c r="DY21" s="83"/>
      <c r="DZ21" s="83"/>
      <c r="EA21" s="83"/>
      <c r="EB21" s="83"/>
      <c r="EC21" s="83"/>
      <c r="ED21" s="83"/>
      <c r="EE21" s="83"/>
      <c r="EF21" s="83"/>
      <c r="EG21" s="83"/>
      <c r="EH21" s="83"/>
      <c r="EI21" s="83"/>
      <c r="EJ21" s="83"/>
      <c r="EK21" s="85"/>
      <c r="EL21" s="83"/>
      <c r="EM21" s="83"/>
      <c r="EN21" s="83"/>
      <c r="EO21" s="83"/>
    </row>
    <row r="22" spans="3:145" x14ac:dyDescent="0.2">
      <c r="C22" s="45"/>
      <c r="D22" s="45"/>
      <c r="J22" s="22"/>
      <c r="AY22" s="87"/>
      <c r="BH22" s="83"/>
      <c r="BI22" s="83"/>
      <c r="BJ22" s="84"/>
      <c r="BK22" s="83"/>
      <c r="BL22" s="83"/>
      <c r="BM22" s="83"/>
      <c r="BN22" s="83"/>
      <c r="BO22" s="83"/>
      <c r="BP22" s="83"/>
      <c r="BQ22" s="83"/>
      <c r="BR22" s="83"/>
      <c r="BS22" s="83"/>
      <c r="BT22" s="85"/>
      <c r="BU22" s="85"/>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c r="DD22" s="83"/>
      <c r="DE22" s="83"/>
      <c r="DF22" s="83"/>
      <c r="DG22" s="83"/>
      <c r="DH22" s="83"/>
      <c r="DI22" s="83"/>
      <c r="DJ22" s="83"/>
      <c r="DK22" s="83"/>
      <c r="DL22" s="83"/>
      <c r="DM22" s="83"/>
      <c r="DN22" s="83"/>
      <c r="DO22" s="83"/>
      <c r="DP22" s="83"/>
      <c r="DQ22" s="83"/>
      <c r="DR22" s="83"/>
      <c r="DS22" s="83"/>
      <c r="DT22" s="83"/>
      <c r="DU22" s="83"/>
      <c r="DV22" s="83"/>
      <c r="DW22" s="83"/>
      <c r="DX22" s="83"/>
      <c r="DY22" s="83"/>
      <c r="DZ22" s="83"/>
      <c r="EA22" s="83"/>
      <c r="EB22" s="83"/>
      <c r="EC22" s="83"/>
      <c r="ED22" s="83"/>
      <c r="EE22" s="83"/>
      <c r="EF22" s="83"/>
      <c r="EG22" s="83"/>
      <c r="EH22" s="83"/>
      <c r="EI22" s="83"/>
      <c r="EJ22" s="83"/>
      <c r="EK22" s="85"/>
      <c r="EL22" s="83"/>
      <c r="EM22" s="83"/>
      <c r="EN22" s="83"/>
      <c r="EO22" s="83"/>
    </row>
    <row r="23" spans="3:145" x14ac:dyDescent="0.2">
      <c r="C23" s="45"/>
      <c r="D23" s="45"/>
      <c r="J23" s="22"/>
      <c r="AY23" s="87"/>
      <c r="BH23" s="83"/>
      <c r="BI23" s="83"/>
      <c r="BJ23" s="84"/>
      <c r="BK23" s="83"/>
      <c r="BL23" s="83"/>
      <c r="BM23" s="83"/>
      <c r="BN23" s="83"/>
      <c r="BO23" s="83"/>
      <c r="BP23" s="83"/>
      <c r="BQ23" s="83"/>
      <c r="BR23" s="83"/>
      <c r="BS23" s="83"/>
      <c r="BT23" s="85"/>
      <c r="BU23" s="85"/>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c r="DD23" s="83"/>
      <c r="DE23" s="83"/>
      <c r="DF23" s="83"/>
      <c r="DG23" s="83"/>
      <c r="DH23" s="83"/>
      <c r="DI23" s="83"/>
      <c r="DJ23" s="83"/>
      <c r="DK23" s="83"/>
      <c r="DL23" s="83"/>
      <c r="DM23" s="83"/>
      <c r="DN23" s="83"/>
      <c r="DO23" s="83"/>
      <c r="DP23" s="83"/>
      <c r="DQ23" s="83"/>
      <c r="DR23" s="83"/>
      <c r="DS23" s="83"/>
      <c r="DT23" s="83"/>
      <c r="DU23" s="83"/>
      <c r="DV23" s="83"/>
      <c r="DW23" s="83"/>
      <c r="DX23" s="83"/>
      <c r="DY23" s="83"/>
      <c r="DZ23" s="83"/>
      <c r="EA23" s="83"/>
      <c r="EB23" s="83"/>
      <c r="EC23" s="83"/>
      <c r="ED23" s="83"/>
      <c r="EE23" s="83"/>
      <c r="EF23" s="83"/>
      <c r="EG23" s="83"/>
      <c r="EH23" s="83"/>
      <c r="EI23" s="83"/>
      <c r="EJ23" s="83"/>
      <c r="EK23" s="85"/>
      <c r="EL23" s="83"/>
      <c r="EM23" s="83"/>
      <c r="EN23" s="83"/>
      <c r="EO23" s="83"/>
    </row>
    <row r="24" spans="3:145" x14ac:dyDescent="0.2">
      <c r="C24" s="45"/>
      <c r="D24" s="45"/>
      <c r="J24" s="22"/>
      <c r="AY24" s="87"/>
      <c r="BH24" s="83"/>
      <c r="BI24" s="83"/>
      <c r="BJ24" s="84"/>
      <c r="BK24" s="83"/>
      <c r="BL24" s="83"/>
      <c r="BM24" s="83"/>
      <c r="BN24" s="83"/>
      <c r="BO24" s="83"/>
      <c r="BP24" s="83"/>
      <c r="BQ24" s="83"/>
      <c r="BR24" s="83"/>
      <c r="BS24" s="83"/>
      <c r="BT24" s="85"/>
      <c r="BU24" s="85"/>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c r="DD24" s="83"/>
      <c r="DE24" s="83"/>
      <c r="DF24" s="83"/>
      <c r="DG24" s="83"/>
      <c r="DH24" s="83"/>
      <c r="DI24" s="83"/>
      <c r="DJ24" s="83"/>
      <c r="DK24" s="83"/>
      <c r="DL24" s="83"/>
      <c r="DM24" s="83"/>
      <c r="DN24" s="83"/>
      <c r="DO24" s="83"/>
      <c r="DP24" s="83"/>
      <c r="DQ24" s="83"/>
      <c r="DR24" s="83"/>
      <c r="DS24" s="83"/>
      <c r="DT24" s="83"/>
      <c r="DU24" s="83"/>
      <c r="DV24" s="83"/>
      <c r="DW24" s="83"/>
      <c r="DX24" s="83"/>
      <c r="DY24" s="83"/>
      <c r="DZ24" s="83"/>
      <c r="EA24" s="83"/>
      <c r="EB24" s="83"/>
      <c r="EC24" s="83"/>
      <c r="ED24" s="83"/>
      <c r="EE24" s="83"/>
      <c r="EF24" s="83"/>
      <c r="EG24" s="83"/>
      <c r="EH24" s="83"/>
      <c r="EI24" s="83"/>
      <c r="EJ24" s="83"/>
      <c r="EK24" s="85"/>
      <c r="EL24" s="83"/>
      <c r="EM24" s="83"/>
      <c r="EN24" s="83"/>
      <c r="EO24" s="83"/>
    </row>
    <row r="25" spans="3:145" x14ac:dyDescent="0.2">
      <c r="C25" s="45"/>
      <c r="D25" s="45"/>
      <c r="J25" s="22"/>
      <c r="AY25" s="87"/>
      <c r="BH25" s="83"/>
      <c r="BI25" s="83"/>
      <c r="BJ25" s="84"/>
      <c r="BK25" s="83"/>
      <c r="BL25" s="83"/>
      <c r="BM25" s="83"/>
      <c r="BN25" s="83"/>
      <c r="BO25" s="83"/>
      <c r="BP25" s="83"/>
      <c r="BQ25" s="83"/>
      <c r="BR25" s="83"/>
      <c r="BS25" s="83"/>
      <c r="BT25" s="85"/>
      <c r="BU25" s="85"/>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c r="DD25" s="83"/>
      <c r="DE25" s="83"/>
      <c r="DF25" s="83"/>
      <c r="DG25" s="83"/>
      <c r="DH25" s="83"/>
      <c r="DI25" s="83"/>
      <c r="DJ25" s="83"/>
      <c r="DK25" s="83"/>
      <c r="DL25" s="83"/>
      <c r="DM25" s="83"/>
      <c r="DN25" s="83"/>
      <c r="DO25" s="83"/>
      <c r="DP25" s="83"/>
      <c r="DQ25" s="83"/>
      <c r="DR25" s="83"/>
      <c r="DS25" s="83"/>
      <c r="DT25" s="83"/>
      <c r="DU25" s="83"/>
      <c r="DV25" s="83"/>
      <c r="DW25" s="83"/>
      <c r="DX25" s="83"/>
      <c r="DY25" s="83"/>
      <c r="DZ25" s="83"/>
      <c r="EA25" s="83"/>
      <c r="EB25" s="83"/>
      <c r="EC25" s="83"/>
      <c r="ED25" s="83"/>
      <c r="EE25" s="83"/>
      <c r="EF25" s="83"/>
      <c r="EG25" s="83"/>
      <c r="EH25" s="83"/>
      <c r="EI25" s="83"/>
      <c r="EJ25" s="83"/>
      <c r="EK25" s="85"/>
      <c r="EL25" s="83"/>
      <c r="EM25" s="83"/>
      <c r="EN25" s="83"/>
      <c r="EO25" s="83"/>
    </row>
    <row r="26" spans="3:145" x14ac:dyDescent="0.2">
      <c r="C26" s="45"/>
      <c r="D26" s="45"/>
      <c r="J26" s="22"/>
      <c r="AY26" s="87"/>
      <c r="BH26" s="83"/>
      <c r="BI26" s="83"/>
      <c r="BJ26" s="84"/>
      <c r="BK26" s="83"/>
      <c r="BL26" s="83"/>
      <c r="BM26" s="83"/>
      <c r="BN26" s="83"/>
      <c r="BO26" s="83"/>
      <c r="BP26" s="83"/>
      <c r="BQ26" s="83"/>
      <c r="BR26" s="83"/>
      <c r="BS26" s="83"/>
      <c r="BT26" s="85"/>
      <c r="BU26" s="85"/>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c r="DD26" s="83"/>
      <c r="DE26" s="83"/>
      <c r="DF26" s="83"/>
      <c r="DG26" s="83"/>
      <c r="DH26" s="83"/>
      <c r="DI26" s="83"/>
      <c r="DJ26" s="83"/>
      <c r="DK26" s="83"/>
      <c r="DL26" s="83"/>
      <c r="DM26" s="83"/>
      <c r="DN26" s="83"/>
      <c r="DO26" s="83"/>
      <c r="DP26" s="83"/>
      <c r="DQ26" s="83"/>
      <c r="DR26" s="83"/>
      <c r="DS26" s="83"/>
      <c r="DT26" s="83"/>
      <c r="DU26" s="83"/>
      <c r="DV26" s="83"/>
      <c r="DW26" s="83"/>
      <c r="DX26" s="83"/>
      <c r="DY26" s="83"/>
      <c r="DZ26" s="83"/>
      <c r="EA26" s="83"/>
      <c r="EB26" s="83"/>
      <c r="EC26" s="83"/>
      <c r="ED26" s="83"/>
      <c r="EE26" s="83"/>
      <c r="EF26" s="83"/>
      <c r="EG26" s="83"/>
      <c r="EH26" s="83"/>
      <c r="EI26" s="83"/>
      <c r="EJ26" s="83"/>
      <c r="EK26" s="85"/>
      <c r="EL26" s="83"/>
      <c r="EM26" s="83"/>
      <c r="EN26" s="83"/>
      <c r="EO26" s="83"/>
    </row>
    <row r="27" spans="3:145" x14ac:dyDescent="0.2">
      <c r="C27" s="45"/>
      <c r="D27" s="45"/>
      <c r="J27" s="22"/>
      <c r="AY27" s="87"/>
      <c r="BH27" s="83"/>
      <c r="BI27" s="83"/>
      <c r="BJ27" s="84"/>
      <c r="BK27" s="83"/>
      <c r="BL27" s="83"/>
      <c r="BM27" s="83"/>
      <c r="BN27" s="83"/>
      <c r="BO27" s="83"/>
      <c r="BP27" s="83"/>
      <c r="BQ27" s="83"/>
      <c r="BR27" s="83"/>
      <c r="BS27" s="83"/>
      <c r="BT27" s="85"/>
      <c r="BU27" s="85"/>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c r="DD27" s="83"/>
      <c r="DE27" s="83"/>
      <c r="DF27" s="83"/>
      <c r="DG27" s="83"/>
      <c r="DH27" s="83"/>
      <c r="DI27" s="83"/>
      <c r="DJ27" s="83"/>
      <c r="DK27" s="83"/>
      <c r="DL27" s="83"/>
      <c r="DM27" s="83"/>
      <c r="DN27" s="83"/>
      <c r="DO27" s="83"/>
      <c r="DP27" s="83"/>
      <c r="DQ27" s="83"/>
      <c r="DR27" s="83"/>
      <c r="DS27" s="83"/>
      <c r="DT27" s="83"/>
      <c r="DU27" s="83"/>
      <c r="DV27" s="83"/>
      <c r="DW27" s="83"/>
      <c r="DX27" s="83"/>
      <c r="DY27" s="83"/>
      <c r="DZ27" s="83"/>
      <c r="EA27" s="83"/>
      <c r="EB27" s="83"/>
      <c r="EC27" s="83"/>
      <c r="ED27" s="83"/>
      <c r="EE27" s="83"/>
      <c r="EF27" s="83"/>
      <c r="EG27" s="83"/>
      <c r="EH27" s="83"/>
      <c r="EI27" s="83"/>
      <c r="EJ27" s="83"/>
      <c r="EK27" s="85"/>
      <c r="EL27" s="83"/>
      <c r="EM27" s="83"/>
      <c r="EN27" s="83"/>
      <c r="EO27" s="83"/>
    </row>
    <row r="28" spans="3:145" x14ac:dyDescent="0.2">
      <c r="C28" s="45"/>
      <c r="D28" s="45"/>
      <c r="J28" s="22"/>
      <c r="AY28" s="87"/>
      <c r="BH28" s="83"/>
      <c r="BI28" s="83"/>
      <c r="BJ28" s="84"/>
      <c r="BK28" s="83"/>
      <c r="BL28" s="83"/>
      <c r="BM28" s="83"/>
      <c r="BN28" s="83"/>
      <c r="BO28" s="83"/>
      <c r="BP28" s="83"/>
      <c r="BQ28" s="83"/>
      <c r="BR28" s="83"/>
      <c r="BS28" s="83"/>
      <c r="BT28" s="85"/>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c r="DD28" s="83"/>
      <c r="DE28" s="83"/>
      <c r="DF28" s="83"/>
      <c r="DG28" s="83"/>
      <c r="DH28" s="83"/>
      <c r="DI28" s="83"/>
      <c r="DJ28" s="83"/>
      <c r="DK28" s="83"/>
      <c r="DL28" s="83"/>
      <c r="DM28" s="83"/>
      <c r="DN28" s="83"/>
      <c r="DO28" s="83"/>
      <c r="DP28" s="83"/>
      <c r="DQ28" s="83"/>
      <c r="DR28" s="83"/>
      <c r="DS28" s="83"/>
      <c r="DT28" s="83"/>
      <c r="DU28" s="83"/>
      <c r="DV28" s="83"/>
      <c r="DW28" s="83"/>
      <c r="DX28" s="83"/>
      <c r="DY28" s="83"/>
      <c r="DZ28" s="83"/>
      <c r="EA28" s="83"/>
      <c r="EB28" s="83"/>
      <c r="EC28" s="83"/>
      <c r="ED28" s="83"/>
      <c r="EE28" s="83"/>
      <c r="EF28" s="83"/>
      <c r="EG28" s="83"/>
      <c r="EH28" s="83"/>
      <c r="EI28" s="83"/>
      <c r="EJ28" s="83"/>
      <c r="EK28" s="85"/>
      <c r="EL28" s="83"/>
      <c r="EM28" s="83"/>
      <c r="EN28" s="83"/>
      <c r="EO28" s="83"/>
    </row>
    <row r="29" spans="3:145" x14ac:dyDescent="0.2">
      <c r="C29" s="45"/>
      <c r="D29" s="45"/>
      <c r="J29" s="22"/>
      <c r="AY29" s="87"/>
      <c r="BH29" s="83"/>
      <c r="BI29" s="83"/>
      <c r="BJ29" s="84"/>
      <c r="BK29" s="83"/>
      <c r="BL29" s="83"/>
      <c r="BM29" s="83"/>
      <c r="BN29" s="83"/>
      <c r="BO29" s="83"/>
      <c r="BP29" s="83"/>
      <c r="BQ29" s="83"/>
      <c r="BR29" s="83"/>
      <c r="BS29" s="83"/>
      <c r="BT29" s="85"/>
      <c r="BU29" s="85"/>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c r="DD29" s="83"/>
      <c r="DE29" s="83"/>
      <c r="DF29" s="83"/>
      <c r="DG29" s="83"/>
      <c r="DH29" s="83"/>
      <c r="DI29" s="83"/>
      <c r="DJ29" s="83"/>
      <c r="DK29" s="83"/>
      <c r="DL29" s="83"/>
      <c r="DM29" s="83"/>
      <c r="DN29" s="83"/>
      <c r="DO29" s="83"/>
      <c r="DP29" s="83"/>
      <c r="DQ29" s="83"/>
      <c r="DR29" s="83"/>
      <c r="DS29" s="83"/>
      <c r="DT29" s="83"/>
      <c r="DU29" s="83"/>
      <c r="DV29" s="83"/>
      <c r="DW29" s="83"/>
      <c r="DX29" s="83"/>
      <c r="DY29" s="83"/>
      <c r="DZ29" s="83"/>
      <c r="EA29" s="83"/>
      <c r="EB29" s="83"/>
      <c r="EC29" s="83"/>
      <c r="ED29" s="83"/>
      <c r="EE29" s="83"/>
      <c r="EF29" s="83"/>
      <c r="EG29" s="83"/>
      <c r="EH29" s="83"/>
      <c r="EI29" s="83"/>
      <c r="EJ29" s="83"/>
      <c r="EK29" s="85"/>
      <c r="EL29" s="83"/>
      <c r="EM29" s="83"/>
      <c r="EN29" s="83"/>
      <c r="EO29" s="83"/>
    </row>
    <row r="30" spans="3:145" x14ac:dyDescent="0.2">
      <c r="C30" s="45"/>
      <c r="D30" s="45"/>
      <c r="J30" s="22"/>
      <c r="AY30" s="87"/>
      <c r="BH30" s="83"/>
      <c r="BI30" s="83"/>
      <c r="BJ30" s="84"/>
      <c r="BK30" s="83"/>
      <c r="BL30" s="83"/>
      <c r="BM30" s="83"/>
      <c r="BN30" s="83"/>
      <c r="BO30" s="83"/>
      <c r="BP30" s="83"/>
      <c r="BQ30" s="83"/>
      <c r="BR30" s="83"/>
      <c r="BS30" s="83"/>
      <c r="BT30" s="85"/>
      <c r="BU30" s="85"/>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c r="DD30" s="83"/>
      <c r="DE30" s="83"/>
      <c r="DF30" s="83"/>
      <c r="DG30" s="83"/>
      <c r="DH30" s="83"/>
      <c r="DI30" s="83"/>
      <c r="DJ30" s="83"/>
      <c r="DK30" s="83"/>
      <c r="DL30" s="83"/>
      <c r="DM30" s="83"/>
      <c r="DN30" s="83"/>
      <c r="DO30" s="83"/>
      <c r="DP30" s="83"/>
      <c r="DQ30" s="83"/>
      <c r="DR30" s="83"/>
      <c r="DS30" s="83"/>
      <c r="DT30" s="83"/>
      <c r="DU30" s="83"/>
      <c r="DV30" s="83"/>
      <c r="DW30" s="83"/>
      <c r="DX30" s="83"/>
      <c r="DY30" s="83"/>
      <c r="DZ30" s="83"/>
      <c r="EA30" s="83"/>
      <c r="EB30" s="83"/>
      <c r="EC30" s="83"/>
      <c r="ED30" s="83"/>
      <c r="EE30" s="83"/>
      <c r="EF30" s="83"/>
      <c r="EG30" s="83"/>
      <c r="EH30" s="83"/>
      <c r="EI30" s="83"/>
      <c r="EJ30" s="83"/>
      <c r="EK30" s="85"/>
      <c r="EL30" s="83"/>
      <c r="EM30" s="83"/>
      <c r="EN30" s="83"/>
      <c r="EO30" s="83"/>
    </row>
    <row r="31" spans="3:145" x14ac:dyDescent="0.2">
      <c r="C31" s="45"/>
      <c r="D31" s="45"/>
      <c r="J31" s="22"/>
      <c r="AY31" s="87"/>
      <c r="BH31" s="83"/>
      <c r="BI31" s="83"/>
      <c r="BJ31" s="84"/>
      <c r="BK31" s="83"/>
      <c r="BL31" s="83"/>
      <c r="BM31" s="83"/>
      <c r="BN31" s="83"/>
      <c r="BO31" s="83"/>
      <c r="BP31" s="83"/>
      <c r="BQ31" s="83"/>
      <c r="BR31" s="83"/>
      <c r="BS31" s="83"/>
      <c r="BT31" s="85"/>
      <c r="BU31" s="85"/>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c r="DD31" s="83"/>
      <c r="DE31" s="83"/>
      <c r="DF31" s="83"/>
      <c r="DG31" s="83"/>
      <c r="DH31" s="83"/>
      <c r="DI31" s="83"/>
      <c r="DJ31" s="83"/>
      <c r="DK31" s="83"/>
      <c r="DL31" s="83"/>
      <c r="DM31" s="83"/>
      <c r="DN31" s="83"/>
      <c r="DO31" s="83"/>
      <c r="DP31" s="83"/>
      <c r="DQ31" s="83"/>
      <c r="DR31" s="83"/>
      <c r="DS31" s="83"/>
      <c r="DT31" s="83"/>
      <c r="DU31" s="83"/>
      <c r="DV31" s="83"/>
      <c r="DW31" s="83"/>
      <c r="DX31" s="83"/>
      <c r="DY31" s="83"/>
      <c r="DZ31" s="83"/>
      <c r="EA31" s="83"/>
      <c r="EB31" s="83"/>
      <c r="EC31" s="83"/>
      <c r="ED31" s="83"/>
      <c r="EE31" s="83"/>
      <c r="EF31" s="83"/>
      <c r="EG31" s="83"/>
      <c r="EH31" s="83"/>
      <c r="EI31" s="83"/>
      <c r="EJ31" s="83"/>
      <c r="EK31" s="85"/>
      <c r="EL31" s="83"/>
      <c r="EM31" s="83"/>
      <c r="EN31" s="83"/>
      <c r="EO31" s="83"/>
    </row>
    <row r="32" spans="3:145" x14ac:dyDescent="0.2">
      <c r="C32" s="45"/>
      <c r="D32" s="45"/>
      <c r="J32" s="22"/>
      <c r="AY32" s="87"/>
      <c r="BH32" s="83"/>
      <c r="BI32" s="83"/>
      <c r="BJ32" s="84"/>
      <c r="BK32" s="83"/>
      <c r="BL32" s="83"/>
      <c r="BM32" s="83"/>
      <c r="BN32" s="83"/>
      <c r="BO32" s="83"/>
      <c r="BP32" s="83"/>
      <c r="BQ32" s="83"/>
      <c r="BR32" s="83"/>
      <c r="BS32" s="83"/>
      <c r="BT32" s="85"/>
      <c r="BU32" s="85"/>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c r="DD32" s="83"/>
      <c r="DE32" s="83"/>
      <c r="DF32" s="83"/>
      <c r="DG32" s="83"/>
      <c r="DH32" s="83"/>
      <c r="DI32" s="83"/>
      <c r="DJ32" s="83"/>
      <c r="DK32" s="83"/>
      <c r="DL32" s="83"/>
      <c r="DM32" s="83"/>
      <c r="DN32" s="83"/>
      <c r="DO32" s="83"/>
      <c r="DP32" s="83"/>
      <c r="DQ32" s="83"/>
      <c r="DR32" s="83"/>
      <c r="DS32" s="83"/>
      <c r="DT32" s="83"/>
      <c r="DU32" s="83"/>
      <c r="DV32" s="83"/>
      <c r="DW32" s="83"/>
      <c r="DX32" s="83"/>
      <c r="DY32" s="83"/>
      <c r="DZ32" s="83"/>
      <c r="EA32" s="83"/>
      <c r="EB32" s="83"/>
      <c r="EC32" s="83"/>
      <c r="ED32" s="83"/>
      <c r="EE32" s="83"/>
      <c r="EF32" s="83"/>
      <c r="EG32" s="83"/>
      <c r="EH32" s="83"/>
      <c r="EI32" s="83"/>
      <c r="EJ32" s="83"/>
      <c r="EK32" s="85"/>
      <c r="EL32" s="83"/>
      <c r="EM32" s="83"/>
      <c r="EN32" s="83"/>
      <c r="EO32" s="83"/>
    </row>
    <row r="33" spans="3:145" x14ac:dyDescent="0.2">
      <c r="C33" s="45"/>
      <c r="D33" s="45"/>
      <c r="J33" s="22"/>
      <c r="AY33" s="87"/>
      <c r="BH33" s="83"/>
      <c r="BI33" s="83"/>
      <c r="BJ33" s="84"/>
      <c r="BK33" s="83"/>
      <c r="BL33" s="83"/>
      <c r="BM33" s="83"/>
      <c r="BN33" s="83"/>
      <c r="BO33" s="83"/>
      <c r="BP33" s="83"/>
      <c r="BQ33" s="83"/>
      <c r="BR33" s="83"/>
      <c r="BS33" s="83"/>
      <c r="BT33" s="85"/>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c r="DD33" s="83"/>
      <c r="DE33" s="83"/>
      <c r="DF33" s="83"/>
      <c r="DG33" s="83"/>
      <c r="DH33" s="83"/>
      <c r="DI33" s="83"/>
      <c r="DJ33" s="83"/>
      <c r="DK33" s="83"/>
      <c r="DL33" s="83"/>
      <c r="DM33" s="83"/>
      <c r="DN33" s="83"/>
      <c r="DO33" s="83"/>
      <c r="DP33" s="83"/>
      <c r="DQ33" s="83"/>
      <c r="DR33" s="83"/>
      <c r="DS33" s="83"/>
      <c r="DT33" s="83"/>
      <c r="DU33" s="83"/>
      <c r="DV33" s="83"/>
      <c r="DW33" s="83"/>
      <c r="DX33" s="83"/>
      <c r="DY33" s="83"/>
      <c r="DZ33" s="83"/>
      <c r="EA33" s="83"/>
      <c r="EB33" s="83"/>
      <c r="EC33" s="83"/>
      <c r="ED33" s="83"/>
      <c r="EE33" s="83"/>
      <c r="EF33" s="83"/>
      <c r="EG33" s="83"/>
      <c r="EH33" s="83"/>
      <c r="EI33" s="83"/>
      <c r="EJ33" s="83"/>
      <c r="EK33" s="85"/>
      <c r="EL33" s="83"/>
      <c r="EM33" s="83"/>
      <c r="EN33" s="83"/>
      <c r="EO33" s="83"/>
    </row>
    <row r="34" spans="3:145" x14ac:dyDescent="0.2">
      <c r="C34" s="45"/>
      <c r="D34" s="45"/>
      <c r="J34" s="22"/>
      <c r="AY34" s="87"/>
      <c r="BH34" s="83"/>
      <c r="BI34" s="83"/>
      <c r="BJ34" s="84"/>
      <c r="BK34" s="83"/>
      <c r="BL34" s="83"/>
      <c r="BM34" s="83"/>
      <c r="BN34" s="83"/>
      <c r="BO34" s="83"/>
      <c r="BP34" s="83"/>
      <c r="BQ34" s="83"/>
      <c r="BR34" s="83"/>
      <c r="BS34" s="83"/>
      <c r="BT34" s="85"/>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c r="DD34" s="83"/>
      <c r="DE34" s="83"/>
      <c r="DF34" s="83"/>
      <c r="DG34" s="83"/>
      <c r="DH34" s="83"/>
      <c r="DI34" s="83"/>
      <c r="DJ34" s="83"/>
      <c r="DK34" s="83"/>
      <c r="DL34" s="83"/>
      <c r="DM34" s="83"/>
      <c r="DN34" s="83"/>
      <c r="DO34" s="83"/>
      <c r="DP34" s="83"/>
      <c r="DQ34" s="83"/>
      <c r="DR34" s="83"/>
      <c r="DS34" s="83"/>
      <c r="DT34" s="83"/>
      <c r="DU34" s="83"/>
      <c r="DV34" s="83"/>
      <c r="DW34" s="83"/>
      <c r="DX34" s="83"/>
      <c r="DY34" s="83"/>
      <c r="DZ34" s="83"/>
      <c r="EA34" s="83"/>
      <c r="EB34" s="83"/>
      <c r="EC34" s="83"/>
      <c r="ED34" s="83"/>
      <c r="EE34" s="83"/>
      <c r="EF34" s="83"/>
      <c r="EG34" s="83"/>
      <c r="EH34" s="83"/>
      <c r="EI34" s="83"/>
      <c r="EJ34" s="83"/>
      <c r="EK34" s="85"/>
      <c r="EL34" s="83"/>
      <c r="EM34" s="83"/>
      <c r="EN34" s="83"/>
      <c r="EO34" s="83"/>
    </row>
    <row r="35" spans="3:145" x14ac:dyDescent="0.2">
      <c r="C35" s="45"/>
      <c r="D35" s="45"/>
      <c r="J35" s="22"/>
      <c r="AY35" s="87"/>
      <c r="BH35" s="83"/>
      <c r="BI35" s="83"/>
      <c r="BJ35" s="84"/>
      <c r="BK35" s="83"/>
      <c r="BL35" s="83"/>
      <c r="BM35" s="83"/>
      <c r="BN35" s="83"/>
      <c r="BO35" s="83"/>
      <c r="BP35" s="83"/>
      <c r="BQ35" s="83"/>
      <c r="BR35" s="83"/>
      <c r="BS35" s="83"/>
      <c r="BT35" s="85"/>
      <c r="BU35" s="85"/>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c r="DD35" s="83"/>
      <c r="DE35" s="83"/>
      <c r="DF35" s="83"/>
      <c r="DG35" s="83"/>
      <c r="DH35" s="83"/>
      <c r="DI35" s="83"/>
      <c r="DJ35" s="83"/>
      <c r="DK35" s="83"/>
      <c r="DL35" s="83"/>
      <c r="DM35" s="83"/>
      <c r="DN35" s="83"/>
      <c r="DO35" s="83"/>
      <c r="DP35" s="83"/>
      <c r="DQ35" s="83"/>
      <c r="DR35" s="83"/>
      <c r="DS35" s="83"/>
      <c r="DT35" s="83"/>
      <c r="DU35" s="83"/>
      <c r="DV35" s="83"/>
      <c r="DW35" s="83"/>
      <c r="DX35" s="83"/>
      <c r="DY35" s="83"/>
      <c r="DZ35" s="83"/>
      <c r="EA35" s="83"/>
      <c r="EB35" s="83"/>
      <c r="EC35" s="83"/>
      <c r="ED35" s="83"/>
      <c r="EE35" s="83"/>
      <c r="EF35" s="83"/>
      <c r="EG35" s="83"/>
      <c r="EH35" s="83"/>
      <c r="EI35" s="83"/>
      <c r="EJ35" s="83"/>
      <c r="EK35" s="85"/>
      <c r="EL35" s="83"/>
      <c r="EM35" s="83"/>
      <c r="EN35" s="83"/>
      <c r="EO35" s="83"/>
    </row>
    <row r="36" spans="3:145" x14ac:dyDescent="0.2">
      <c r="C36" s="45"/>
      <c r="D36" s="45"/>
      <c r="J36" s="22"/>
      <c r="AY36" s="87"/>
      <c r="BH36" s="83"/>
      <c r="BI36" s="83"/>
      <c r="BJ36" s="84"/>
      <c r="BK36" s="83"/>
      <c r="BL36" s="83"/>
      <c r="BM36" s="83"/>
      <c r="BN36" s="83"/>
      <c r="BO36" s="83"/>
      <c r="BP36" s="83"/>
      <c r="BQ36" s="83"/>
      <c r="BR36" s="83"/>
      <c r="BS36" s="83"/>
      <c r="BT36" s="85"/>
      <c r="BU36" s="85"/>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c r="DD36" s="83"/>
      <c r="DE36" s="83"/>
      <c r="DF36" s="83"/>
      <c r="DG36" s="83"/>
      <c r="DH36" s="83"/>
      <c r="DI36" s="83"/>
      <c r="DJ36" s="83"/>
      <c r="DK36" s="83"/>
      <c r="DL36" s="83"/>
      <c r="DM36" s="83"/>
      <c r="DN36" s="83"/>
      <c r="DO36" s="83"/>
      <c r="DP36" s="83"/>
      <c r="DQ36" s="83"/>
      <c r="DR36" s="83"/>
      <c r="DS36" s="83"/>
      <c r="DT36" s="83"/>
      <c r="DU36" s="83"/>
      <c r="DV36" s="83"/>
      <c r="DW36" s="83"/>
      <c r="DX36" s="83"/>
      <c r="DY36" s="83"/>
      <c r="DZ36" s="83"/>
      <c r="EA36" s="83"/>
      <c r="EB36" s="83"/>
      <c r="EC36" s="83"/>
      <c r="ED36" s="83"/>
      <c r="EE36" s="83"/>
      <c r="EF36" s="83"/>
      <c r="EG36" s="83"/>
      <c r="EH36" s="83"/>
      <c r="EI36" s="83"/>
      <c r="EJ36" s="83"/>
      <c r="EK36" s="85"/>
      <c r="EL36" s="83"/>
      <c r="EM36" s="83"/>
      <c r="EN36" s="83"/>
      <c r="EO36" s="83"/>
    </row>
    <row r="37" spans="3:145" x14ac:dyDescent="0.2">
      <c r="C37" s="45"/>
      <c r="D37" s="45"/>
      <c r="J37" s="22"/>
      <c r="AY37" s="87"/>
      <c r="BH37" s="83"/>
      <c r="BI37" s="83"/>
      <c r="BJ37" s="84"/>
      <c r="BK37" s="83"/>
      <c r="BL37" s="83"/>
      <c r="BM37" s="83"/>
      <c r="BN37" s="83"/>
      <c r="BO37" s="83"/>
      <c r="BP37" s="83"/>
      <c r="BQ37" s="83"/>
      <c r="BR37" s="83"/>
      <c r="BS37" s="83"/>
      <c r="BT37" s="85"/>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83"/>
      <c r="EB37" s="83"/>
      <c r="EC37" s="83"/>
      <c r="ED37" s="83"/>
      <c r="EE37" s="83"/>
      <c r="EF37" s="83"/>
      <c r="EG37" s="83"/>
      <c r="EH37" s="83"/>
      <c r="EI37" s="83"/>
      <c r="EJ37" s="83"/>
      <c r="EK37" s="85"/>
      <c r="EL37" s="83"/>
      <c r="EM37" s="83"/>
      <c r="EN37" s="83"/>
      <c r="EO37" s="83"/>
    </row>
    <row r="38" spans="3:145" x14ac:dyDescent="0.2">
      <c r="C38" s="45"/>
      <c r="D38" s="45"/>
      <c r="J38" s="22"/>
      <c r="AY38" s="87"/>
      <c r="BH38" s="83"/>
      <c r="BI38" s="83"/>
      <c r="BJ38" s="84"/>
      <c r="BK38" s="83"/>
      <c r="BL38" s="83"/>
      <c r="BM38" s="83"/>
      <c r="BN38" s="83"/>
      <c r="BO38" s="83"/>
      <c r="BP38" s="83"/>
      <c r="BQ38" s="83"/>
      <c r="BR38" s="83"/>
      <c r="BS38" s="83"/>
      <c r="BT38" s="85"/>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c r="DD38" s="83"/>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5"/>
      <c r="EL38" s="83"/>
      <c r="EM38" s="83"/>
      <c r="EN38" s="83"/>
      <c r="EO38" s="83"/>
    </row>
    <row r="39" spans="3:145" x14ac:dyDescent="0.2">
      <c r="C39" s="45"/>
      <c r="D39" s="45"/>
      <c r="J39" s="22"/>
      <c r="AY39" s="87"/>
      <c r="BH39" s="83"/>
      <c r="BI39" s="83"/>
      <c r="BJ39" s="84"/>
      <c r="BK39" s="83"/>
      <c r="BL39" s="83"/>
      <c r="BM39" s="83"/>
      <c r="BN39" s="83"/>
      <c r="BO39" s="83"/>
      <c r="BP39" s="83"/>
      <c r="BQ39" s="83"/>
      <c r="BR39" s="83"/>
      <c r="BS39" s="83"/>
      <c r="BT39" s="85"/>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c r="DD39" s="83"/>
      <c r="DE39" s="83"/>
      <c r="DF39" s="83"/>
      <c r="DG39" s="83"/>
      <c r="DH39" s="83"/>
      <c r="DI39" s="83"/>
      <c r="DJ39" s="83"/>
      <c r="DK39" s="83"/>
      <c r="DL39" s="83"/>
      <c r="DM39" s="83"/>
      <c r="DN39" s="83"/>
      <c r="DO39" s="83"/>
      <c r="DP39" s="83"/>
      <c r="DQ39" s="83"/>
      <c r="DR39" s="83"/>
      <c r="DS39" s="83"/>
      <c r="DT39" s="83"/>
      <c r="DU39" s="83"/>
      <c r="DV39" s="83"/>
      <c r="DW39" s="83"/>
      <c r="DX39" s="83"/>
      <c r="DY39" s="83"/>
      <c r="DZ39" s="83"/>
      <c r="EA39" s="83"/>
      <c r="EB39" s="83"/>
      <c r="EC39" s="83"/>
      <c r="ED39" s="83"/>
      <c r="EE39" s="83"/>
      <c r="EF39" s="83"/>
      <c r="EG39" s="83"/>
      <c r="EH39" s="83"/>
      <c r="EI39" s="83"/>
      <c r="EJ39" s="83"/>
      <c r="EK39" s="85"/>
      <c r="EL39" s="83"/>
      <c r="EM39" s="83"/>
      <c r="EN39" s="83"/>
      <c r="EO39" s="83"/>
    </row>
    <row r="40" spans="3:145" x14ac:dyDescent="0.2">
      <c r="C40" s="45"/>
      <c r="D40" s="45"/>
      <c r="J40" s="22"/>
      <c r="AY40" s="87"/>
      <c r="BH40" s="83"/>
      <c r="BI40" s="83"/>
      <c r="BJ40" s="84"/>
      <c r="BK40" s="83"/>
      <c r="BL40" s="83"/>
      <c r="BM40" s="83"/>
      <c r="BN40" s="83"/>
      <c r="BO40" s="83"/>
      <c r="BP40" s="83"/>
      <c r="BQ40" s="83"/>
      <c r="BR40" s="83"/>
      <c r="BS40" s="83"/>
      <c r="BT40" s="85"/>
      <c r="BU40" s="85"/>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c r="DD40" s="83"/>
      <c r="DE40" s="83"/>
      <c r="DF40" s="83"/>
      <c r="DG40" s="83"/>
      <c r="DH40" s="83"/>
      <c r="DI40" s="83"/>
      <c r="DJ40" s="83"/>
      <c r="DK40" s="83"/>
      <c r="DL40" s="83"/>
      <c r="DM40" s="83"/>
      <c r="DN40" s="83"/>
      <c r="DO40" s="83"/>
      <c r="DP40" s="83"/>
      <c r="DQ40" s="83"/>
      <c r="DR40" s="83"/>
      <c r="DS40" s="83"/>
      <c r="DT40" s="83"/>
      <c r="DU40" s="83"/>
      <c r="DV40" s="83"/>
      <c r="DW40" s="83"/>
      <c r="DX40" s="83"/>
      <c r="DY40" s="83"/>
      <c r="DZ40" s="83"/>
      <c r="EA40" s="83"/>
      <c r="EB40" s="83"/>
      <c r="EC40" s="83"/>
      <c r="ED40" s="83"/>
      <c r="EE40" s="83"/>
      <c r="EF40" s="83"/>
      <c r="EG40" s="83"/>
      <c r="EH40" s="83"/>
      <c r="EI40" s="83"/>
      <c r="EJ40" s="83"/>
      <c r="EK40" s="85"/>
      <c r="EL40" s="83"/>
      <c r="EM40" s="83"/>
      <c r="EN40" s="83"/>
      <c r="EO40" s="83"/>
    </row>
    <row r="41" spans="3:145" x14ac:dyDescent="0.2">
      <c r="C41" s="45"/>
      <c r="D41" s="45"/>
      <c r="J41" s="22"/>
      <c r="AY41" s="87"/>
      <c r="BH41" s="83"/>
      <c r="BI41" s="83"/>
      <c r="BJ41" s="84"/>
      <c r="BK41" s="83"/>
      <c r="BL41" s="83"/>
      <c r="BM41" s="83"/>
      <c r="BN41" s="83"/>
      <c r="BO41" s="83"/>
      <c r="BP41" s="83"/>
      <c r="BQ41" s="83"/>
      <c r="BR41" s="83"/>
      <c r="BS41" s="83"/>
      <c r="BT41" s="85"/>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c r="DD41" s="83"/>
      <c r="DE41" s="83"/>
      <c r="DF41" s="83"/>
      <c r="DG41" s="83"/>
      <c r="DH41" s="83"/>
      <c r="DI41" s="83"/>
      <c r="DJ41" s="83"/>
      <c r="DK41" s="83"/>
      <c r="DL41" s="83"/>
      <c r="DM41" s="83"/>
      <c r="DN41" s="83"/>
      <c r="DO41" s="83"/>
      <c r="DP41" s="83"/>
      <c r="DQ41" s="83"/>
      <c r="DR41" s="83"/>
      <c r="DS41" s="83"/>
      <c r="DT41" s="83"/>
      <c r="DU41" s="83"/>
      <c r="DV41" s="83"/>
      <c r="DW41" s="83"/>
      <c r="DX41" s="83"/>
      <c r="DY41" s="83"/>
      <c r="DZ41" s="83"/>
      <c r="EA41" s="83"/>
      <c r="EB41" s="83"/>
      <c r="EC41" s="83"/>
      <c r="ED41" s="83"/>
      <c r="EE41" s="83"/>
      <c r="EF41" s="83"/>
      <c r="EG41" s="83"/>
      <c r="EH41" s="83"/>
      <c r="EI41" s="83"/>
      <c r="EJ41" s="83"/>
      <c r="EK41" s="85"/>
      <c r="EL41" s="83"/>
      <c r="EM41" s="83"/>
      <c r="EN41" s="83"/>
      <c r="EO41" s="83"/>
    </row>
    <row r="42" spans="3:145" x14ac:dyDescent="0.2">
      <c r="C42" s="45"/>
      <c r="D42" s="45"/>
      <c r="J42" s="22"/>
      <c r="AY42" s="87"/>
      <c r="BH42" s="83"/>
      <c r="BI42" s="83"/>
      <c r="BJ42" s="84"/>
      <c r="BK42" s="83"/>
      <c r="BL42" s="83"/>
      <c r="BM42" s="83"/>
      <c r="BN42" s="83"/>
      <c r="BO42" s="83"/>
      <c r="BP42" s="83"/>
      <c r="BQ42" s="83"/>
      <c r="BR42" s="83"/>
      <c r="BS42" s="83"/>
      <c r="BT42" s="85"/>
      <c r="BU42" s="85"/>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c r="DD42" s="83"/>
      <c r="DE42" s="83"/>
      <c r="DF42" s="83"/>
      <c r="DG42" s="83"/>
      <c r="DH42" s="83"/>
      <c r="DI42" s="83"/>
      <c r="DJ42" s="83"/>
      <c r="DK42" s="83"/>
      <c r="DL42" s="83"/>
      <c r="DM42" s="83"/>
      <c r="DN42" s="83"/>
      <c r="DO42" s="83"/>
      <c r="DP42" s="83"/>
      <c r="DQ42" s="83"/>
      <c r="DR42" s="83"/>
      <c r="DS42" s="83"/>
      <c r="DT42" s="83"/>
      <c r="DU42" s="83"/>
      <c r="DV42" s="83"/>
      <c r="DW42" s="83"/>
      <c r="DX42" s="83"/>
      <c r="DY42" s="83"/>
      <c r="DZ42" s="83"/>
      <c r="EA42" s="83"/>
      <c r="EB42" s="83"/>
      <c r="EC42" s="83"/>
      <c r="ED42" s="83"/>
      <c r="EE42" s="83"/>
      <c r="EF42" s="83"/>
      <c r="EG42" s="83"/>
      <c r="EH42" s="83"/>
      <c r="EI42" s="83"/>
      <c r="EJ42" s="83"/>
      <c r="EK42" s="85"/>
      <c r="EL42" s="83"/>
      <c r="EM42" s="83"/>
      <c r="EN42" s="83"/>
      <c r="EO42" s="83"/>
    </row>
    <row r="43" spans="3:145" x14ac:dyDescent="0.2">
      <c r="C43" s="45"/>
      <c r="D43" s="45"/>
      <c r="J43" s="22"/>
      <c r="AY43" s="87"/>
      <c r="BH43" s="83"/>
      <c r="BI43" s="83"/>
      <c r="BJ43" s="84"/>
      <c r="BK43" s="83"/>
      <c r="BL43" s="83"/>
      <c r="BM43" s="83"/>
      <c r="BN43" s="83"/>
      <c r="BO43" s="83"/>
      <c r="BP43" s="83"/>
      <c r="BQ43" s="83"/>
      <c r="BR43" s="83"/>
      <c r="BS43" s="83"/>
      <c r="BT43" s="85"/>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c r="DD43" s="83"/>
      <c r="DE43" s="83"/>
      <c r="DF43" s="83"/>
      <c r="DG43" s="83"/>
      <c r="DH43" s="83"/>
      <c r="DI43" s="83"/>
      <c r="DJ43" s="83"/>
      <c r="DK43" s="83"/>
      <c r="DL43" s="83"/>
      <c r="DM43" s="83"/>
      <c r="DN43" s="83"/>
      <c r="DO43" s="83"/>
      <c r="DP43" s="83"/>
      <c r="DQ43" s="83"/>
      <c r="DR43" s="83"/>
      <c r="DS43" s="83"/>
      <c r="DT43" s="83"/>
      <c r="DU43" s="83"/>
      <c r="DV43" s="83"/>
      <c r="DW43" s="83"/>
      <c r="DX43" s="83"/>
      <c r="DY43" s="83"/>
      <c r="DZ43" s="83"/>
      <c r="EA43" s="83"/>
      <c r="EB43" s="83"/>
      <c r="EC43" s="83"/>
      <c r="ED43" s="83"/>
      <c r="EE43" s="83"/>
      <c r="EF43" s="83"/>
      <c r="EG43" s="83"/>
      <c r="EH43" s="83"/>
      <c r="EI43" s="83"/>
      <c r="EJ43" s="83"/>
      <c r="EK43" s="85"/>
      <c r="EL43" s="83"/>
      <c r="EM43" s="83"/>
      <c r="EN43" s="83"/>
      <c r="EO43" s="83"/>
    </row>
    <row r="44" spans="3:145" x14ac:dyDescent="0.2">
      <c r="C44" s="45"/>
      <c r="D44" s="45"/>
      <c r="J44" s="22"/>
      <c r="AY44" s="87"/>
      <c r="BH44" s="83"/>
      <c r="BI44" s="83"/>
      <c r="BJ44" s="84"/>
      <c r="BK44" s="83"/>
      <c r="BL44" s="83"/>
      <c r="BM44" s="83"/>
      <c r="BN44" s="83"/>
      <c r="BO44" s="83"/>
      <c r="BP44" s="83"/>
      <c r="BQ44" s="83"/>
      <c r="BR44" s="83"/>
      <c r="BS44" s="83"/>
      <c r="BT44" s="85"/>
      <c r="BU44" s="85"/>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c r="DD44" s="83"/>
      <c r="DE44" s="83"/>
      <c r="DF44" s="83"/>
      <c r="DG44" s="83"/>
      <c r="DH44" s="83"/>
      <c r="DI44" s="83"/>
      <c r="DJ44" s="83"/>
      <c r="DK44" s="83"/>
      <c r="DL44" s="83"/>
      <c r="DM44" s="83"/>
      <c r="DN44" s="83"/>
      <c r="DO44" s="83"/>
      <c r="DP44" s="83"/>
      <c r="DQ44" s="83"/>
      <c r="DR44" s="83"/>
      <c r="DS44" s="83"/>
      <c r="DT44" s="83"/>
      <c r="DU44" s="83"/>
      <c r="DV44" s="83"/>
      <c r="DW44" s="83"/>
      <c r="DX44" s="83"/>
      <c r="DY44" s="83"/>
      <c r="DZ44" s="83"/>
      <c r="EA44" s="83"/>
      <c r="EB44" s="83"/>
      <c r="EC44" s="83"/>
      <c r="ED44" s="83"/>
      <c r="EE44" s="83"/>
      <c r="EF44" s="83"/>
      <c r="EG44" s="83"/>
      <c r="EH44" s="83"/>
      <c r="EI44" s="83"/>
      <c r="EJ44" s="83"/>
      <c r="EK44" s="85"/>
      <c r="EL44" s="83"/>
      <c r="EM44" s="83"/>
      <c r="EN44" s="83"/>
      <c r="EO44" s="83"/>
    </row>
    <row r="45" spans="3:145" x14ac:dyDescent="0.2">
      <c r="C45" s="45"/>
      <c r="D45" s="45"/>
      <c r="J45" s="22"/>
      <c r="AY45" s="87"/>
      <c r="BH45" s="83"/>
      <c r="BI45" s="83"/>
      <c r="BJ45" s="84"/>
      <c r="BK45" s="83"/>
      <c r="BL45" s="83"/>
      <c r="BM45" s="83"/>
      <c r="BN45" s="83"/>
      <c r="BO45" s="83"/>
      <c r="BP45" s="83"/>
      <c r="BQ45" s="83"/>
      <c r="BR45" s="83"/>
      <c r="BS45" s="83"/>
      <c r="BT45" s="85"/>
      <c r="BU45" s="85"/>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c r="DD45" s="83"/>
      <c r="DE45" s="83"/>
      <c r="DF45" s="83"/>
      <c r="DG45" s="83"/>
      <c r="DH45" s="83"/>
      <c r="DI45" s="83"/>
      <c r="DJ45" s="83"/>
      <c r="DK45" s="83"/>
      <c r="DL45" s="83"/>
      <c r="DM45" s="83"/>
      <c r="DN45" s="83"/>
      <c r="DO45" s="83"/>
      <c r="DP45" s="83"/>
      <c r="DQ45" s="83"/>
      <c r="DR45" s="83"/>
      <c r="DS45" s="83"/>
      <c r="DT45" s="83"/>
      <c r="DU45" s="83"/>
      <c r="DV45" s="83"/>
      <c r="DW45" s="83"/>
      <c r="DX45" s="83"/>
      <c r="DY45" s="83"/>
      <c r="DZ45" s="83"/>
      <c r="EA45" s="83"/>
      <c r="EB45" s="83"/>
      <c r="EC45" s="83"/>
      <c r="ED45" s="83"/>
      <c r="EE45" s="83"/>
      <c r="EF45" s="83"/>
      <c r="EG45" s="83"/>
      <c r="EH45" s="83"/>
      <c r="EI45" s="83"/>
      <c r="EJ45" s="83"/>
      <c r="EK45" s="85"/>
      <c r="EL45" s="83"/>
      <c r="EM45" s="83"/>
      <c r="EN45" s="83"/>
      <c r="EO45" s="83"/>
    </row>
    <row r="46" spans="3:145" x14ac:dyDescent="0.2">
      <c r="C46" s="45"/>
      <c r="D46" s="45"/>
      <c r="J46" s="22"/>
      <c r="AY46" s="87"/>
      <c r="BH46" s="83"/>
      <c r="BI46" s="83"/>
      <c r="BJ46" s="84"/>
      <c r="BK46" s="83"/>
      <c r="BL46" s="83"/>
      <c r="BM46" s="83"/>
      <c r="BN46" s="83"/>
      <c r="BO46" s="83"/>
      <c r="BP46" s="83"/>
      <c r="BQ46" s="83"/>
      <c r="BR46" s="83"/>
      <c r="BS46" s="83"/>
      <c r="BT46" s="85"/>
      <c r="BU46" s="85"/>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c r="DD46" s="83"/>
      <c r="DE46" s="83"/>
      <c r="DF46" s="83"/>
      <c r="DG46" s="83"/>
      <c r="DH46" s="83"/>
      <c r="DI46" s="83"/>
      <c r="DJ46" s="83"/>
      <c r="DK46" s="83"/>
      <c r="DL46" s="83"/>
      <c r="DM46" s="83"/>
      <c r="DN46" s="83"/>
      <c r="DO46" s="83"/>
      <c r="DP46" s="83"/>
      <c r="DQ46" s="83"/>
      <c r="DR46" s="83"/>
      <c r="DS46" s="83"/>
      <c r="DT46" s="83"/>
      <c r="DU46" s="83"/>
      <c r="DV46" s="83"/>
      <c r="DW46" s="83"/>
      <c r="DX46" s="83"/>
      <c r="DY46" s="83"/>
      <c r="DZ46" s="83"/>
      <c r="EA46" s="83"/>
      <c r="EB46" s="83"/>
      <c r="EC46" s="83"/>
      <c r="ED46" s="83"/>
      <c r="EE46" s="83"/>
      <c r="EF46" s="83"/>
      <c r="EG46" s="83"/>
      <c r="EH46" s="83"/>
      <c r="EI46" s="83"/>
      <c r="EJ46" s="83"/>
      <c r="EK46" s="85"/>
      <c r="EL46" s="83"/>
      <c r="EM46" s="83"/>
      <c r="EN46" s="83"/>
      <c r="EO46" s="83"/>
    </row>
    <row r="47" spans="3:145" x14ac:dyDescent="0.2">
      <c r="C47" s="45"/>
      <c r="D47" s="45"/>
      <c r="J47" s="22"/>
      <c r="AY47" s="87"/>
      <c r="BH47" s="83"/>
      <c r="BI47" s="83"/>
      <c r="BJ47" s="84"/>
      <c r="BK47" s="83"/>
      <c r="BL47" s="83"/>
      <c r="BM47" s="83"/>
      <c r="BN47" s="83"/>
      <c r="BO47" s="83"/>
      <c r="BP47" s="83"/>
      <c r="BQ47" s="83"/>
      <c r="BR47" s="83"/>
      <c r="BS47" s="83"/>
      <c r="BT47" s="85"/>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c r="DD47" s="83"/>
      <c r="DE47" s="83"/>
      <c r="DF47" s="83"/>
      <c r="DG47" s="83"/>
      <c r="DH47" s="83"/>
      <c r="DI47" s="83"/>
      <c r="DJ47" s="83"/>
      <c r="DK47" s="83"/>
      <c r="DL47" s="83"/>
      <c r="DM47" s="83"/>
      <c r="DN47" s="83"/>
      <c r="DO47" s="83"/>
      <c r="DP47" s="83"/>
      <c r="DQ47" s="83"/>
      <c r="DR47" s="83"/>
      <c r="DS47" s="83"/>
      <c r="DT47" s="83"/>
      <c r="DU47" s="83"/>
      <c r="DV47" s="83"/>
      <c r="DW47" s="83"/>
      <c r="DX47" s="83"/>
      <c r="DY47" s="83"/>
      <c r="DZ47" s="83"/>
      <c r="EA47" s="83"/>
      <c r="EB47" s="83"/>
      <c r="EC47" s="83"/>
      <c r="ED47" s="83"/>
      <c r="EE47" s="83"/>
      <c r="EF47" s="83"/>
      <c r="EG47" s="83"/>
      <c r="EH47" s="83"/>
      <c r="EI47" s="83"/>
      <c r="EJ47" s="83"/>
      <c r="EK47" s="85"/>
      <c r="EL47" s="83"/>
      <c r="EM47" s="83"/>
      <c r="EN47" s="83"/>
      <c r="EO47" s="83"/>
    </row>
    <row r="48" spans="3:145" x14ac:dyDescent="0.2">
      <c r="C48" s="45"/>
      <c r="D48" s="45"/>
      <c r="J48" s="22"/>
      <c r="AY48" s="87"/>
      <c r="BH48" s="83"/>
      <c r="BI48" s="83"/>
      <c r="BJ48" s="84"/>
      <c r="BK48" s="83"/>
      <c r="BL48" s="83"/>
      <c r="BM48" s="83"/>
      <c r="BN48" s="83"/>
      <c r="BO48" s="83"/>
      <c r="BP48" s="83"/>
      <c r="BQ48" s="83"/>
      <c r="BR48" s="83"/>
      <c r="BS48" s="83"/>
      <c r="BT48" s="85"/>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c r="DD48" s="83"/>
      <c r="DE48" s="83"/>
      <c r="DF48" s="83"/>
      <c r="DG48" s="83"/>
      <c r="DH48" s="83"/>
      <c r="DI48" s="83"/>
      <c r="DJ48" s="83"/>
      <c r="DK48" s="83"/>
      <c r="DL48" s="83"/>
      <c r="DM48" s="83"/>
      <c r="DN48" s="83"/>
      <c r="DO48" s="83"/>
      <c r="DP48" s="83"/>
      <c r="DQ48" s="83"/>
      <c r="DR48" s="83"/>
      <c r="DS48" s="83"/>
      <c r="DT48" s="83"/>
      <c r="DU48" s="83"/>
      <c r="DV48" s="83"/>
      <c r="DW48" s="83"/>
      <c r="DX48" s="83"/>
      <c r="DY48" s="83"/>
      <c r="DZ48" s="83"/>
      <c r="EA48" s="83"/>
      <c r="EB48" s="83"/>
      <c r="EC48" s="83"/>
      <c r="ED48" s="83"/>
      <c r="EE48" s="83"/>
      <c r="EF48" s="83"/>
      <c r="EG48" s="83"/>
      <c r="EH48" s="83"/>
      <c r="EI48" s="83"/>
      <c r="EJ48" s="83"/>
      <c r="EK48" s="85"/>
      <c r="EL48" s="83"/>
      <c r="EM48" s="83"/>
      <c r="EN48" s="83"/>
      <c r="EO48" s="83"/>
    </row>
    <row r="49" spans="3:145" x14ac:dyDescent="0.2">
      <c r="C49" s="45"/>
      <c r="D49" s="45"/>
      <c r="J49" s="22"/>
      <c r="AY49" s="87"/>
      <c r="BH49" s="83"/>
      <c r="BI49" s="83"/>
      <c r="BJ49" s="84"/>
      <c r="BK49" s="83"/>
      <c r="BL49" s="83"/>
      <c r="BM49" s="83"/>
      <c r="BN49" s="83"/>
      <c r="BO49" s="83"/>
      <c r="BP49" s="83"/>
      <c r="BQ49" s="83"/>
      <c r="BR49" s="83"/>
      <c r="BS49" s="83"/>
      <c r="BT49" s="85"/>
      <c r="BU49" s="85"/>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c r="DD49" s="83"/>
      <c r="DE49" s="83"/>
      <c r="DF49" s="83"/>
      <c r="DG49" s="83"/>
      <c r="DH49" s="83"/>
      <c r="DI49" s="83"/>
      <c r="DJ49" s="83"/>
      <c r="DK49" s="83"/>
      <c r="DL49" s="83"/>
      <c r="DM49" s="83"/>
      <c r="DN49" s="83"/>
      <c r="DO49" s="83"/>
      <c r="DP49" s="83"/>
      <c r="DQ49" s="83"/>
      <c r="DR49" s="83"/>
      <c r="DS49" s="83"/>
      <c r="DT49" s="83"/>
      <c r="DU49" s="83"/>
      <c r="DV49" s="83"/>
      <c r="DW49" s="83"/>
      <c r="DX49" s="83"/>
      <c r="DY49" s="83"/>
      <c r="DZ49" s="83"/>
      <c r="EA49" s="83"/>
      <c r="EB49" s="83"/>
      <c r="EC49" s="83"/>
      <c r="ED49" s="83"/>
      <c r="EE49" s="83"/>
      <c r="EF49" s="83"/>
      <c r="EG49" s="83"/>
      <c r="EH49" s="83"/>
      <c r="EI49" s="83"/>
      <c r="EJ49" s="83"/>
      <c r="EK49" s="85"/>
      <c r="EL49" s="83"/>
      <c r="EM49" s="83"/>
      <c r="EN49" s="83"/>
      <c r="EO49" s="83"/>
    </row>
    <row r="50" spans="3:145" x14ac:dyDescent="0.2">
      <c r="C50" s="45"/>
      <c r="D50" s="45"/>
      <c r="J50" s="22"/>
      <c r="AY50" s="87"/>
      <c r="BH50" s="83"/>
      <c r="BI50" s="83"/>
      <c r="BJ50" s="84"/>
      <c r="BK50" s="83"/>
      <c r="BL50" s="83"/>
      <c r="BM50" s="83"/>
      <c r="BN50" s="83"/>
      <c r="BO50" s="83"/>
      <c r="BP50" s="83"/>
      <c r="BQ50" s="83"/>
      <c r="BR50" s="83"/>
      <c r="BS50" s="83"/>
      <c r="BT50" s="85"/>
      <c r="BU50" s="85"/>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c r="DD50" s="83"/>
      <c r="DE50" s="83"/>
      <c r="DF50" s="83"/>
      <c r="DG50" s="83"/>
      <c r="DH50" s="83"/>
      <c r="DI50" s="83"/>
      <c r="DJ50" s="83"/>
      <c r="DK50" s="83"/>
      <c r="DL50" s="83"/>
      <c r="DM50" s="83"/>
      <c r="DN50" s="83"/>
      <c r="DO50" s="83"/>
      <c r="DP50" s="83"/>
      <c r="DQ50" s="83"/>
      <c r="DR50" s="83"/>
      <c r="DS50" s="83"/>
      <c r="DT50" s="83"/>
      <c r="DU50" s="83"/>
      <c r="DV50" s="83"/>
      <c r="DW50" s="83"/>
      <c r="DX50" s="83"/>
      <c r="DY50" s="83"/>
      <c r="DZ50" s="83"/>
      <c r="EA50" s="83"/>
      <c r="EB50" s="83"/>
      <c r="EC50" s="83"/>
      <c r="ED50" s="83"/>
      <c r="EE50" s="83"/>
      <c r="EF50" s="83"/>
      <c r="EG50" s="83"/>
      <c r="EH50" s="83"/>
      <c r="EI50" s="83"/>
      <c r="EJ50" s="83"/>
      <c r="EK50" s="85"/>
      <c r="EL50" s="83"/>
      <c r="EM50" s="83"/>
      <c r="EN50" s="83"/>
      <c r="EO50" s="83"/>
    </row>
    <row r="51" spans="3:145" x14ac:dyDescent="0.2">
      <c r="C51" s="45"/>
      <c r="D51" s="45"/>
      <c r="J51" s="22"/>
      <c r="AY51" s="87"/>
      <c r="BH51" s="83"/>
      <c r="BI51" s="83"/>
      <c r="BJ51" s="84"/>
      <c r="BK51" s="83"/>
      <c r="BL51" s="83"/>
      <c r="BM51" s="83"/>
      <c r="BN51" s="83"/>
      <c r="BO51" s="83"/>
      <c r="BP51" s="83"/>
      <c r="BQ51" s="83"/>
      <c r="BR51" s="83"/>
      <c r="BS51" s="83"/>
      <c r="BT51" s="85"/>
      <c r="BU51" s="85"/>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c r="DD51" s="83"/>
      <c r="DE51" s="83"/>
      <c r="DF51" s="83"/>
      <c r="DG51" s="83"/>
      <c r="DH51" s="83"/>
      <c r="DI51" s="83"/>
      <c r="DJ51" s="83"/>
      <c r="DK51" s="83"/>
      <c r="DL51" s="83"/>
      <c r="DM51" s="83"/>
      <c r="DN51" s="83"/>
      <c r="DO51" s="83"/>
      <c r="DP51" s="83"/>
      <c r="DQ51" s="83"/>
      <c r="DR51" s="83"/>
      <c r="DS51" s="83"/>
      <c r="DT51" s="83"/>
      <c r="DU51" s="83"/>
      <c r="DV51" s="83"/>
      <c r="DW51" s="83"/>
      <c r="DX51" s="83"/>
      <c r="DY51" s="83"/>
      <c r="DZ51" s="83"/>
      <c r="EA51" s="83"/>
      <c r="EB51" s="83"/>
      <c r="EC51" s="83"/>
      <c r="ED51" s="83"/>
      <c r="EE51" s="83"/>
      <c r="EF51" s="83"/>
      <c r="EG51" s="83"/>
      <c r="EH51" s="83"/>
      <c r="EI51" s="83"/>
      <c r="EJ51" s="83"/>
      <c r="EK51" s="85"/>
      <c r="EL51" s="83"/>
      <c r="EM51" s="83"/>
      <c r="EN51" s="83"/>
      <c r="EO51" s="83"/>
    </row>
    <row r="52" spans="3:145" x14ac:dyDescent="0.2">
      <c r="C52" s="45"/>
      <c r="D52" s="45"/>
      <c r="J52" s="22"/>
      <c r="AY52" s="87"/>
      <c r="BH52" s="83"/>
      <c r="BI52" s="83"/>
      <c r="BJ52" s="84"/>
      <c r="BK52" s="83"/>
      <c r="BL52" s="83"/>
      <c r="BM52" s="83"/>
      <c r="BN52" s="83"/>
      <c r="BO52" s="83"/>
      <c r="BP52" s="83"/>
      <c r="BQ52" s="83"/>
      <c r="BR52" s="83"/>
      <c r="BS52" s="83"/>
      <c r="BT52" s="85"/>
      <c r="BU52" s="85"/>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c r="DD52" s="83"/>
      <c r="DE52" s="83"/>
      <c r="DF52" s="83"/>
      <c r="DG52" s="83"/>
      <c r="DH52" s="83"/>
      <c r="DI52" s="83"/>
      <c r="DJ52" s="83"/>
      <c r="DK52" s="83"/>
      <c r="DL52" s="83"/>
      <c r="DM52" s="83"/>
      <c r="DN52" s="83"/>
      <c r="DO52" s="83"/>
      <c r="DP52" s="83"/>
      <c r="DQ52" s="83"/>
      <c r="DR52" s="83"/>
      <c r="DS52" s="83"/>
      <c r="DT52" s="83"/>
      <c r="DU52" s="83"/>
      <c r="DV52" s="83"/>
      <c r="DW52" s="83"/>
      <c r="DX52" s="83"/>
      <c r="DY52" s="83"/>
      <c r="DZ52" s="83"/>
      <c r="EA52" s="83"/>
      <c r="EB52" s="83"/>
      <c r="EC52" s="83"/>
      <c r="ED52" s="83"/>
      <c r="EE52" s="83"/>
      <c r="EF52" s="83"/>
      <c r="EG52" s="83"/>
      <c r="EH52" s="83"/>
      <c r="EI52" s="83"/>
      <c r="EJ52" s="83"/>
      <c r="EK52" s="85"/>
      <c r="EL52" s="83"/>
      <c r="EM52" s="83"/>
      <c r="EN52" s="83"/>
      <c r="EO52" s="83"/>
    </row>
    <row r="53" spans="3:145" x14ac:dyDescent="0.2">
      <c r="C53" s="45"/>
      <c r="D53" s="45"/>
      <c r="J53" s="22"/>
      <c r="AY53" s="87"/>
      <c r="BH53" s="83"/>
      <c r="BI53" s="83"/>
      <c r="BJ53" s="84"/>
      <c r="BK53" s="83"/>
      <c r="BL53" s="83"/>
      <c r="BM53" s="83"/>
      <c r="BN53" s="83"/>
      <c r="BO53" s="83"/>
      <c r="BP53" s="83"/>
      <c r="BQ53" s="83"/>
      <c r="BR53" s="83"/>
      <c r="BS53" s="83"/>
      <c r="BT53" s="85"/>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c r="DD53" s="83"/>
      <c r="DE53" s="83"/>
      <c r="DF53" s="83"/>
      <c r="DG53" s="83"/>
      <c r="DH53" s="83"/>
      <c r="DI53" s="83"/>
      <c r="DJ53" s="83"/>
      <c r="DK53" s="83"/>
      <c r="DL53" s="83"/>
      <c r="DM53" s="83"/>
      <c r="DN53" s="83"/>
      <c r="DO53" s="83"/>
      <c r="DP53" s="83"/>
      <c r="DQ53" s="83"/>
      <c r="DR53" s="83"/>
      <c r="DS53" s="83"/>
      <c r="DT53" s="83"/>
      <c r="DU53" s="83"/>
      <c r="DV53" s="83"/>
      <c r="DW53" s="83"/>
      <c r="DX53" s="83"/>
      <c r="DY53" s="83"/>
      <c r="DZ53" s="83"/>
      <c r="EA53" s="83"/>
      <c r="EB53" s="83"/>
      <c r="EC53" s="83"/>
      <c r="ED53" s="83"/>
      <c r="EE53" s="83"/>
      <c r="EF53" s="83"/>
      <c r="EG53" s="83"/>
      <c r="EH53" s="83"/>
      <c r="EI53" s="83"/>
      <c r="EJ53" s="83"/>
      <c r="EK53" s="85"/>
      <c r="EL53" s="83"/>
      <c r="EM53" s="83"/>
      <c r="EN53" s="83"/>
      <c r="EO53" s="83"/>
    </row>
    <row r="54" spans="3:145" x14ac:dyDescent="0.2">
      <c r="C54" s="45"/>
      <c r="D54" s="45"/>
      <c r="J54" s="22"/>
      <c r="AY54" s="87"/>
      <c r="BH54" s="83"/>
      <c r="BI54" s="83"/>
      <c r="BJ54" s="84"/>
      <c r="BK54" s="83"/>
      <c r="BL54" s="83"/>
      <c r="BM54" s="83"/>
      <c r="BN54" s="83"/>
      <c r="BO54" s="83"/>
      <c r="BP54" s="83"/>
      <c r="BQ54" s="83"/>
      <c r="BR54" s="83"/>
      <c r="BS54" s="83"/>
      <c r="BT54" s="85"/>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c r="DD54" s="83"/>
      <c r="DE54" s="83"/>
      <c r="DF54" s="83"/>
      <c r="DG54" s="83"/>
      <c r="DH54" s="83"/>
      <c r="DI54" s="83"/>
      <c r="DJ54" s="83"/>
      <c r="DK54" s="83"/>
      <c r="DL54" s="83"/>
      <c r="DM54" s="83"/>
      <c r="DN54" s="83"/>
      <c r="DO54" s="83"/>
      <c r="DP54" s="83"/>
      <c r="DQ54" s="83"/>
      <c r="DR54" s="83"/>
      <c r="DS54" s="83"/>
      <c r="DT54" s="83"/>
      <c r="DU54" s="83"/>
      <c r="DV54" s="83"/>
      <c r="DW54" s="83"/>
      <c r="DX54" s="83"/>
      <c r="DY54" s="83"/>
      <c r="DZ54" s="83"/>
      <c r="EA54" s="83"/>
      <c r="EB54" s="83"/>
      <c r="EC54" s="83"/>
      <c r="ED54" s="83"/>
      <c r="EE54" s="83"/>
      <c r="EF54" s="83"/>
      <c r="EG54" s="83"/>
      <c r="EH54" s="83"/>
      <c r="EI54" s="83"/>
      <c r="EJ54" s="83"/>
      <c r="EK54" s="85"/>
      <c r="EL54" s="83"/>
      <c r="EM54" s="83"/>
      <c r="EN54" s="83"/>
      <c r="EO54" s="83"/>
    </row>
    <row r="55" spans="3:145" x14ac:dyDescent="0.2">
      <c r="C55" s="45"/>
      <c r="D55" s="45"/>
      <c r="J55" s="22"/>
      <c r="AY55" s="87"/>
      <c r="BH55" s="83"/>
      <c r="BI55" s="83"/>
      <c r="BJ55" s="84"/>
      <c r="BK55" s="83"/>
      <c r="BL55" s="83"/>
      <c r="BM55" s="83"/>
      <c r="BN55" s="83"/>
      <c r="BO55" s="83"/>
      <c r="BP55" s="83"/>
      <c r="BQ55" s="83"/>
      <c r="BR55" s="83"/>
      <c r="BS55" s="83"/>
      <c r="BT55" s="85"/>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c r="DD55" s="83"/>
      <c r="DE55" s="83"/>
      <c r="DF55" s="83"/>
      <c r="DG55" s="83"/>
      <c r="DH55" s="83"/>
      <c r="DI55" s="83"/>
      <c r="DJ55" s="83"/>
      <c r="DK55" s="83"/>
      <c r="DL55" s="83"/>
      <c r="DM55" s="83"/>
      <c r="DN55" s="83"/>
      <c r="DO55" s="83"/>
      <c r="DP55" s="83"/>
      <c r="DQ55" s="83"/>
      <c r="DR55" s="83"/>
      <c r="DS55" s="83"/>
      <c r="DT55" s="83"/>
      <c r="DU55" s="83"/>
      <c r="DV55" s="83"/>
      <c r="DW55" s="83"/>
      <c r="DX55" s="83"/>
      <c r="DY55" s="83"/>
      <c r="DZ55" s="83"/>
      <c r="EA55" s="83"/>
      <c r="EB55" s="83"/>
      <c r="EC55" s="83"/>
      <c r="ED55" s="83"/>
      <c r="EE55" s="83"/>
      <c r="EF55" s="83"/>
      <c r="EG55" s="83"/>
      <c r="EH55" s="83"/>
      <c r="EI55" s="83"/>
      <c r="EJ55" s="83"/>
      <c r="EK55" s="85"/>
      <c r="EL55" s="83"/>
      <c r="EM55" s="83"/>
      <c r="EN55" s="83"/>
      <c r="EO55" s="83"/>
    </row>
    <row r="56" spans="3:145" x14ac:dyDescent="0.2">
      <c r="C56" s="45"/>
      <c r="D56" s="45"/>
      <c r="J56" s="22"/>
      <c r="AY56" s="87"/>
      <c r="BH56" s="83"/>
      <c r="BI56" s="83"/>
      <c r="BJ56" s="84"/>
      <c r="BK56" s="83"/>
      <c r="BL56" s="83"/>
      <c r="BM56" s="83"/>
      <c r="BN56" s="83"/>
      <c r="BO56" s="83"/>
      <c r="BP56" s="83"/>
      <c r="BQ56" s="83"/>
      <c r="BR56" s="83"/>
      <c r="BS56" s="83"/>
      <c r="BT56" s="85"/>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c r="DD56" s="83"/>
      <c r="DE56" s="83"/>
      <c r="DF56" s="83"/>
      <c r="DG56" s="83"/>
      <c r="DH56" s="83"/>
      <c r="DI56" s="83"/>
      <c r="DJ56" s="83"/>
      <c r="DK56" s="83"/>
      <c r="DL56" s="83"/>
      <c r="DM56" s="83"/>
      <c r="DN56" s="83"/>
      <c r="DO56" s="83"/>
      <c r="DP56" s="83"/>
      <c r="DQ56" s="83"/>
      <c r="DR56" s="83"/>
      <c r="DS56" s="83"/>
      <c r="DT56" s="83"/>
      <c r="DU56" s="83"/>
      <c r="DV56" s="83"/>
      <c r="DW56" s="83"/>
      <c r="DX56" s="83"/>
      <c r="DY56" s="83"/>
      <c r="DZ56" s="83"/>
      <c r="EA56" s="83"/>
      <c r="EB56" s="83"/>
      <c r="EC56" s="83"/>
      <c r="ED56" s="83"/>
      <c r="EE56" s="83"/>
      <c r="EF56" s="83"/>
      <c r="EG56" s="83"/>
      <c r="EH56" s="83"/>
      <c r="EI56" s="83"/>
      <c r="EJ56" s="83"/>
      <c r="EK56" s="85"/>
      <c r="EL56" s="83"/>
      <c r="EM56" s="83"/>
      <c r="EN56" s="83"/>
      <c r="EO56" s="83"/>
    </row>
    <row r="57" spans="3:145" x14ac:dyDescent="0.2">
      <c r="C57" s="45"/>
      <c r="D57" s="45"/>
      <c r="J57" s="22"/>
      <c r="AY57" s="87"/>
      <c r="BH57" s="83"/>
      <c r="BI57" s="83"/>
      <c r="BJ57" s="84"/>
      <c r="BK57" s="83"/>
      <c r="BL57" s="83"/>
      <c r="BM57" s="83"/>
      <c r="BN57" s="83"/>
      <c r="BO57" s="83"/>
      <c r="BP57" s="83"/>
      <c r="BQ57" s="83"/>
      <c r="BR57" s="83"/>
      <c r="BS57" s="83"/>
      <c r="BT57" s="85"/>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c r="DD57" s="83"/>
      <c r="DE57" s="83"/>
      <c r="DF57" s="83"/>
      <c r="DG57" s="83"/>
      <c r="DH57" s="83"/>
      <c r="DI57" s="83"/>
      <c r="DJ57" s="83"/>
      <c r="DK57" s="83"/>
      <c r="DL57" s="83"/>
      <c r="DM57" s="83"/>
      <c r="DN57" s="83"/>
      <c r="DO57" s="83"/>
      <c r="DP57" s="83"/>
      <c r="DQ57" s="83"/>
      <c r="DR57" s="83"/>
      <c r="DS57" s="83"/>
      <c r="DT57" s="83"/>
      <c r="DU57" s="83"/>
      <c r="DV57" s="83"/>
      <c r="DW57" s="83"/>
      <c r="DX57" s="83"/>
      <c r="DY57" s="83"/>
      <c r="DZ57" s="83"/>
      <c r="EA57" s="83"/>
      <c r="EB57" s="83"/>
      <c r="EC57" s="83"/>
      <c r="ED57" s="83"/>
      <c r="EE57" s="83"/>
      <c r="EF57" s="83"/>
      <c r="EG57" s="83"/>
      <c r="EH57" s="83"/>
      <c r="EI57" s="83"/>
      <c r="EJ57" s="83"/>
      <c r="EK57" s="85"/>
      <c r="EL57" s="83"/>
      <c r="EM57" s="83"/>
      <c r="EN57" s="83"/>
      <c r="EO57" s="83"/>
    </row>
    <row r="58" spans="3:145" x14ac:dyDescent="0.2">
      <c r="C58" s="45"/>
      <c r="D58" s="45"/>
      <c r="J58" s="22"/>
      <c r="AY58" s="87"/>
      <c r="BH58" s="83"/>
      <c r="BI58" s="83"/>
      <c r="BJ58" s="84"/>
      <c r="BK58" s="83"/>
      <c r="BL58" s="83"/>
      <c r="BM58" s="83"/>
      <c r="BN58" s="83"/>
      <c r="BO58" s="83"/>
      <c r="BP58" s="83"/>
      <c r="BQ58" s="83"/>
      <c r="BR58" s="83"/>
      <c r="BS58" s="83"/>
      <c r="BT58" s="85"/>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c r="DD58" s="83"/>
      <c r="DE58" s="83"/>
      <c r="DF58" s="83"/>
      <c r="DG58" s="83"/>
      <c r="DH58" s="83"/>
      <c r="DI58" s="83"/>
      <c r="DJ58" s="83"/>
      <c r="DK58" s="83"/>
      <c r="DL58" s="83"/>
      <c r="DM58" s="83"/>
      <c r="DN58" s="83"/>
      <c r="DO58" s="83"/>
      <c r="DP58" s="83"/>
      <c r="DQ58" s="83"/>
      <c r="DR58" s="83"/>
      <c r="DS58" s="83"/>
      <c r="DT58" s="83"/>
      <c r="DU58" s="83"/>
      <c r="DV58" s="83"/>
      <c r="DW58" s="83"/>
      <c r="DX58" s="83"/>
      <c r="DY58" s="83"/>
      <c r="DZ58" s="83"/>
      <c r="EA58" s="83"/>
      <c r="EB58" s="83"/>
      <c r="EC58" s="83"/>
      <c r="ED58" s="83"/>
      <c r="EE58" s="83"/>
      <c r="EF58" s="83"/>
      <c r="EG58" s="83"/>
      <c r="EH58" s="83"/>
      <c r="EI58" s="83"/>
      <c r="EJ58" s="83"/>
      <c r="EK58" s="85"/>
      <c r="EL58" s="83"/>
      <c r="EM58" s="83"/>
      <c r="EN58" s="83"/>
      <c r="EO58" s="83"/>
    </row>
    <row r="59" spans="3:145" x14ac:dyDescent="0.2">
      <c r="C59" s="45"/>
      <c r="D59" s="45"/>
      <c r="J59" s="22"/>
      <c r="AY59" s="87"/>
      <c r="BH59" s="83"/>
      <c r="BI59" s="83"/>
      <c r="BJ59" s="84"/>
      <c r="BK59" s="83"/>
      <c r="BL59" s="83"/>
      <c r="BM59" s="83"/>
      <c r="BN59" s="83"/>
      <c r="BO59" s="83"/>
      <c r="BP59" s="83"/>
      <c r="BQ59" s="83"/>
      <c r="BR59" s="83"/>
      <c r="BS59" s="83"/>
      <c r="BT59" s="85"/>
      <c r="BU59" s="85"/>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5"/>
      <c r="EL59" s="83"/>
      <c r="EM59" s="83"/>
      <c r="EN59" s="83"/>
      <c r="EO59" s="83"/>
    </row>
    <row r="60" spans="3:145" x14ac:dyDescent="0.2">
      <c r="C60" s="45"/>
      <c r="D60" s="45"/>
      <c r="J60" s="22"/>
      <c r="AY60" s="87"/>
      <c r="BH60" s="83"/>
      <c r="BI60" s="83"/>
      <c r="BJ60" s="84"/>
      <c r="BK60" s="83"/>
      <c r="BL60" s="83"/>
      <c r="BM60" s="83"/>
      <c r="BN60" s="83"/>
      <c r="BO60" s="83"/>
      <c r="BP60" s="83"/>
      <c r="BQ60" s="83"/>
      <c r="BR60" s="83"/>
      <c r="BS60" s="83"/>
      <c r="BT60" s="85"/>
      <c r="BU60" s="85"/>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5"/>
      <c r="EL60" s="83"/>
      <c r="EM60" s="83"/>
      <c r="EN60" s="83"/>
      <c r="EO60" s="83"/>
    </row>
    <row r="61" spans="3:145" x14ac:dyDescent="0.2">
      <c r="C61" s="45"/>
      <c r="D61" s="45"/>
      <c r="J61" s="22"/>
      <c r="AY61" s="87"/>
      <c r="BH61" s="83"/>
      <c r="BI61" s="83"/>
      <c r="BJ61" s="84"/>
      <c r="BK61" s="83"/>
      <c r="BL61" s="83"/>
      <c r="BM61" s="83"/>
      <c r="BN61" s="83"/>
      <c r="BO61" s="83"/>
      <c r="BP61" s="83"/>
      <c r="BQ61" s="83"/>
      <c r="BR61" s="83"/>
      <c r="BS61" s="83"/>
      <c r="BT61" s="85"/>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c r="DD61" s="83"/>
      <c r="DE61" s="83"/>
      <c r="DF61" s="83"/>
      <c r="DG61" s="83"/>
      <c r="DH61" s="83"/>
      <c r="DI61" s="83"/>
      <c r="DJ61" s="83"/>
      <c r="DK61" s="83"/>
      <c r="DL61" s="83"/>
      <c r="DM61" s="83"/>
      <c r="DN61" s="83"/>
      <c r="DO61" s="83"/>
      <c r="DP61" s="83"/>
      <c r="DQ61" s="83"/>
      <c r="DR61" s="83"/>
      <c r="DS61" s="83"/>
      <c r="DT61" s="83"/>
      <c r="DU61" s="83"/>
      <c r="DV61" s="83"/>
      <c r="DW61" s="83"/>
      <c r="DX61" s="83"/>
      <c r="DY61" s="83"/>
      <c r="DZ61" s="83"/>
      <c r="EA61" s="83"/>
      <c r="EB61" s="83"/>
      <c r="EC61" s="83"/>
      <c r="ED61" s="83"/>
      <c r="EE61" s="83"/>
      <c r="EF61" s="83"/>
      <c r="EG61" s="83"/>
      <c r="EH61" s="83"/>
      <c r="EI61" s="83"/>
      <c r="EJ61" s="83"/>
      <c r="EK61" s="85"/>
      <c r="EL61" s="83"/>
      <c r="EM61" s="83"/>
      <c r="EN61" s="83"/>
      <c r="EO61" s="83"/>
    </row>
    <row r="62" spans="3:145" x14ac:dyDescent="0.2">
      <c r="C62" s="45"/>
      <c r="D62" s="45"/>
      <c r="J62" s="22"/>
      <c r="AY62" s="87"/>
      <c r="BH62" s="83"/>
      <c r="BI62" s="83"/>
      <c r="BJ62" s="84"/>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c r="DD62" s="83"/>
      <c r="DE62" s="83"/>
      <c r="DF62" s="83"/>
      <c r="DG62" s="83"/>
      <c r="DH62" s="83"/>
      <c r="DI62" s="83"/>
      <c r="DJ62" s="83"/>
      <c r="DK62" s="83"/>
      <c r="DL62" s="83"/>
      <c r="DM62" s="83"/>
      <c r="DN62" s="83"/>
      <c r="DO62" s="83"/>
      <c r="DP62" s="83"/>
      <c r="DQ62" s="83"/>
      <c r="DR62" s="83"/>
      <c r="DS62" s="83"/>
      <c r="DT62" s="83"/>
      <c r="DU62" s="83"/>
      <c r="DV62" s="83"/>
      <c r="DW62" s="83"/>
      <c r="DX62" s="83"/>
      <c r="DY62" s="83"/>
      <c r="DZ62" s="83"/>
      <c r="EA62" s="83"/>
      <c r="EB62" s="83"/>
      <c r="EC62" s="83"/>
      <c r="ED62" s="83"/>
      <c r="EE62" s="83"/>
      <c r="EF62" s="83"/>
      <c r="EG62" s="83"/>
      <c r="EH62" s="83"/>
      <c r="EI62" s="83"/>
      <c r="EJ62" s="83"/>
      <c r="EK62" s="85"/>
      <c r="EL62" s="83"/>
      <c r="EM62" s="83"/>
      <c r="EN62" s="83"/>
      <c r="EO62" s="83"/>
    </row>
    <row r="63" spans="3:145" x14ac:dyDescent="0.2">
      <c r="C63" s="45"/>
      <c r="D63" s="45"/>
      <c r="J63" s="22"/>
      <c r="AY63" s="87"/>
      <c r="BH63" s="83"/>
      <c r="BI63" s="83"/>
      <c r="BJ63" s="84"/>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c r="DD63" s="83"/>
      <c r="DE63" s="83"/>
      <c r="DF63" s="83"/>
      <c r="DG63" s="83"/>
      <c r="DH63" s="83"/>
      <c r="DI63" s="83"/>
      <c r="DJ63" s="83"/>
      <c r="DK63" s="83"/>
      <c r="DL63" s="83"/>
      <c r="DM63" s="83"/>
      <c r="DN63" s="83"/>
      <c r="DO63" s="83"/>
      <c r="DP63" s="83"/>
      <c r="DQ63" s="83"/>
      <c r="DR63" s="83"/>
      <c r="DS63" s="83"/>
      <c r="DT63" s="83"/>
      <c r="DU63" s="83"/>
      <c r="DV63" s="83"/>
      <c r="DW63" s="83"/>
      <c r="DX63" s="83"/>
      <c r="DY63" s="83"/>
      <c r="DZ63" s="83"/>
      <c r="EA63" s="83"/>
      <c r="EB63" s="83"/>
      <c r="EC63" s="83"/>
      <c r="ED63" s="83"/>
      <c r="EE63" s="83"/>
      <c r="EF63" s="83"/>
      <c r="EG63" s="83"/>
      <c r="EH63" s="83"/>
      <c r="EI63" s="83"/>
      <c r="EJ63" s="83"/>
      <c r="EK63" s="85"/>
      <c r="EL63" s="83"/>
      <c r="EM63" s="83"/>
      <c r="EN63" s="83"/>
      <c r="EO63" s="83"/>
    </row>
    <row r="64" spans="3:145" x14ac:dyDescent="0.2">
      <c r="C64" s="45"/>
      <c r="D64" s="45"/>
      <c r="J64" s="22"/>
      <c r="AY64" s="87"/>
      <c r="BH64" s="83"/>
      <c r="BI64" s="83"/>
      <c r="BJ64" s="84"/>
      <c r="BK64" s="83"/>
      <c r="BL64" s="83"/>
      <c r="BM64" s="83"/>
      <c r="BN64" s="83"/>
      <c r="BO64" s="83"/>
      <c r="BP64" s="83"/>
      <c r="BQ64" s="83"/>
      <c r="BR64" s="83"/>
      <c r="BS64" s="83"/>
      <c r="BT64" s="85"/>
      <c r="BU64" s="85"/>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c r="DD64" s="83"/>
      <c r="DE64" s="83"/>
      <c r="DF64" s="83"/>
      <c r="DG64" s="83"/>
      <c r="DH64" s="83"/>
      <c r="DI64" s="83"/>
      <c r="DJ64" s="83"/>
      <c r="DK64" s="83"/>
      <c r="DL64" s="83"/>
      <c r="DM64" s="83"/>
      <c r="DN64" s="83"/>
      <c r="DO64" s="83"/>
      <c r="DP64" s="83"/>
      <c r="DQ64" s="83"/>
      <c r="DR64" s="83"/>
      <c r="DS64" s="83"/>
      <c r="DT64" s="83"/>
      <c r="DU64" s="83"/>
      <c r="DV64" s="83"/>
      <c r="DW64" s="83"/>
      <c r="DX64" s="83"/>
      <c r="DY64" s="83"/>
      <c r="DZ64" s="83"/>
      <c r="EA64" s="83"/>
      <c r="EB64" s="83"/>
      <c r="EC64" s="83"/>
      <c r="ED64" s="83"/>
      <c r="EE64" s="83"/>
      <c r="EF64" s="83"/>
      <c r="EG64" s="83"/>
      <c r="EH64" s="83"/>
      <c r="EI64" s="83"/>
      <c r="EJ64" s="83"/>
      <c r="EK64" s="85"/>
      <c r="EL64" s="83"/>
      <c r="EM64" s="83"/>
      <c r="EN64" s="83"/>
      <c r="EO64" s="83"/>
    </row>
    <row r="65" spans="3:145" x14ac:dyDescent="0.2">
      <c r="C65" s="45"/>
      <c r="D65" s="45"/>
      <c r="J65" s="22"/>
      <c r="AY65" s="87"/>
      <c r="BH65" s="83"/>
      <c r="BI65" s="83"/>
      <c r="BJ65" s="84"/>
      <c r="BK65" s="83"/>
      <c r="BL65" s="83"/>
      <c r="BM65" s="83"/>
      <c r="BN65" s="83"/>
      <c r="BO65" s="83"/>
      <c r="BP65" s="83"/>
      <c r="BQ65" s="83"/>
      <c r="BR65" s="83"/>
      <c r="BS65" s="83"/>
      <c r="BT65" s="85"/>
      <c r="BU65" s="85"/>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c r="DD65" s="83"/>
      <c r="DE65" s="83"/>
      <c r="DF65" s="83"/>
      <c r="DG65" s="83"/>
      <c r="DH65" s="83"/>
      <c r="DI65" s="83"/>
      <c r="DJ65" s="83"/>
      <c r="DK65" s="83"/>
      <c r="DL65" s="83"/>
      <c r="DM65" s="83"/>
      <c r="DN65" s="83"/>
      <c r="DO65" s="83"/>
      <c r="DP65" s="83"/>
      <c r="DQ65" s="83"/>
      <c r="DR65" s="83"/>
      <c r="DS65" s="83"/>
      <c r="DT65" s="83"/>
      <c r="DU65" s="83"/>
      <c r="DV65" s="83"/>
      <c r="DW65" s="83"/>
      <c r="DX65" s="83"/>
      <c r="DY65" s="83"/>
      <c r="DZ65" s="83"/>
      <c r="EA65" s="83"/>
      <c r="EB65" s="83"/>
      <c r="EC65" s="83"/>
      <c r="ED65" s="83"/>
      <c r="EE65" s="83"/>
      <c r="EF65" s="83"/>
      <c r="EG65" s="83"/>
      <c r="EH65" s="83"/>
      <c r="EI65" s="83"/>
      <c r="EJ65" s="83"/>
      <c r="EK65" s="85"/>
      <c r="EL65" s="83"/>
      <c r="EM65" s="83"/>
      <c r="EN65" s="83"/>
      <c r="EO65" s="83"/>
    </row>
    <row r="66" spans="3:145" x14ac:dyDescent="0.2">
      <c r="C66" s="45"/>
      <c r="D66" s="45"/>
      <c r="J66" s="22"/>
      <c r="AY66" s="87"/>
      <c r="BH66" s="83"/>
      <c r="BI66" s="83"/>
      <c r="BJ66" s="84"/>
      <c r="BK66" s="83"/>
      <c r="BL66" s="83"/>
      <c r="BM66" s="83"/>
      <c r="BN66" s="83"/>
      <c r="BO66" s="83"/>
      <c r="BP66" s="83"/>
      <c r="BQ66" s="83"/>
      <c r="BR66" s="83"/>
      <c r="BS66" s="83"/>
      <c r="BT66" s="85"/>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c r="DD66" s="83"/>
      <c r="DE66" s="83"/>
      <c r="DF66" s="83"/>
      <c r="DG66" s="83"/>
      <c r="DH66" s="83"/>
      <c r="DI66" s="83"/>
      <c r="DJ66" s="83"/>
      <c r="DK66" s="83"/>
      <c r="DL66" s="83"/>
      <c r="DM66" s="83"/>
      <c r="DN66" s="83"/>
      <c r="DO66" s="83"/>
      <c r="DP66" s="83"/>
      <c r="DQ66" s="83"/>
      <c r="DR66" s="83"/>
      <c r="DS66" s="83"/>
      <c r="DT66" s="83"/>
      <c r="DU66" s="83"/>
      <c r="DV66" s="83"/>
      <c r="DW66" s="83"/>
      <c r="DX66" s="83"/>
      <c r="DY66" s="83"/>
      <c r="DZ66" s="83"/>
      <c r="EA66" s="83"/>
      <c r="EB66" s="83"/>
      <c r="EC66" s="83"/>
      <c r="ED66" s="83"/>
      <c r="EE66" s="83"/>
      <c r="EF66" s="83"/>
      <c r="EG66" s="83"/>
      <c r="EH66" s="83"/>
      <c r="EI66" s="83"/>
      <c r="EJ66" s="85"/>
      <c r="EK66" s="83"/>
      <c r="EL66" s="83"/>
      <c r="EM66" s="83"/>
      <c r="EN66" s="83"/>
    </row>
    <row r="67" spans="3:145" x14ac:dyDescent="0.2">
      <c r="C67" s="45"/>
      <c r="D67" s="45"/>
      <c r="J67" s="22"/>
      <c r="AY67" s="87"/>
      <c r="BH67" s="83"/>
      <c r="BI67" s="83"/>
      <c r="BJ67" s="84"/>
      <c r="BK67" s="83"/>
      <c r="BL67" s="83"/>
      <c r="BM67" s="83"/>
      <c r="BN67" s="83"/>
      <c r="BO67" s="83"/>
      <c r="BP67" s="83"/>
      <c r="BQ67" s="83"/>
      <c r="BR67" s="83"/>
      <c r="BS67" s="83"/>
      <c r="BT67" s="85"/>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c r="DD67" s="83"/>
      <c r="DE67" s="83"/>
      <c r="DF67" s="83"/>
      <c r="DG67" s="83"/>
      <c r="DH67" s="83"/>
      <c r="DI67" s="83"/>
      <c r="DJ67" s="83"/>
      <c r="DK67" s="83"/>
      <c r="DL67" s="83"/>
      <c r="DM67" s="83"/>
      <c r="DN67" s="83"/>
      <c r="DO67" s="83"/>
      <c r="DP67" s="83"/>
      <c r="DQ67" s="83"/>
      <c r="DR67" s="83"/>
      <c r="DS67" s="83"/>
      <c r="DT67" s="83"/>
      <c r="DU67" s="83"/>
      <c r="DV67" s="83"/>
      <c r="DW67" s="83"/>
      <c r="DX67" s="83"/>
      <c r="DY67" s="83"/>
      <c r="DZ67" s="83"/>
      <c r="EA67" s="83"/>
      <c r="EB67" s="83"/>
      <c r="EC67" s="83"/>
      <c r="ED67" s="83"/>
      <c r="EE67" s="83"/>
      <c r="EF67" s="83"/>
      <c r="EG67" s="83"/>
      <c r="EH67" s="83"/>
      <c r="EI67" s="83"/>
      <c r="EJ67" s="85"/>
      <c r="EK67" s="83"/>
      <c r="EL67" s="83"/>
      <c r="EM67" s="83"/>
      <c r="EN67" s="83"/>
    </row>
    <row r="68" spans="3:145" x14ac:dyDescent="0.2">
      <c r="C68" s="45"/>
      <c r="D68" s="45"/>
      <c r="J68" s="22"/>
      <c r="AY68" s="87"/>
      <c r="BH68" s="83"/>
      <c r="BI68" s="83"/>
      <c r="BJ68" s="84"/>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c r="DD68" s="83"/>
      <c r="DE68" s="83"/>
      <c r="DF68" s="83"/>
      <c r="DG68" s="83"/>
      <c r="DH68" s="83"/>
      <c r="DI68" s="83"/>
      <c r="DJ68" s="83"/>
      <c r="DK68" s="83"/>
      <c r="DL68" s="83"/>
      <c r="DM68" s="83"/>
      <c r="DN68" s="83"/>
      <c r="DO68" s="83"/>
      <c r="DP68" s="83"/>
      <c r="DQ68" s="83"/>
      <c r="DR68" s="83"/>
      <c r="DS68" s="83"/>
      <c r="DT68" s="83"/>
      <c r="DU68" s="83"/>
      <c r="DV68" s="83"/>
      <c r="DW68" s="83"/>
      <c r="DX68" s="83"/>
      <c r="DY68" s="83"/>
      <c r="DZ68" s="83"/>
      <c r="EA68" s="83"/>
      <c r="EB68" s="83"/>
      <c r="EC68" s="83"/>
      <c r="ED68" s="83"/>
      <c r="EE68" s="83"/>
      <c r="EF68" s="83"/>
      <c r="EG68" s="83"/>
      <c r="EH68" s="83"/>
      <c r="EI68" s="83"/>
      <c r="EJ68" s="85"/>
      <c r="EK68" s="83"/>
      <c r="EL68" s="83"/>
      <c r="EM68" s="83"/>
      <c r="EN68" s="83"/>
    </row>
    <row r="69" spans="3:145" x14ac:dyDescent="0.2">
      <c r="C69" s="45"/>
      <c r="D69" s="45"/>
      <c r="J69" s="22"/>
      <c r="AY69" s="87"/>
      <c r="BH69" s="83"/>
      <c r="BI69" s="83"/>
      <c r="BJ69" s="84"/>
      <c r="BK69" s="83"/>
      <c r="BL69" s="83"/>
      <c r="BM69" s="83"/>
      <c r="BN69" s="83"/>
      <c r="BO69" s="83"/>
      <c r="BP69" s="83"/>
      <c r="BQ69" s="83"/>
      <c r="BR69" s="83"/>
      <c r="BS69" s="83"/>
      <c r="BT69" s="85"/>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c r="DD69" s="83"/>
      <c r="DE69" s="83"/>
      <c r="DF69" s="83"/>
      <c r="DG69" s="83"/>
      <c r="DH69" s="83"/>
      <c r="DI69" s="83"/>
      <c r="DJ69" s="83"/>
      <c r="DK69" s="83"/>
      <c r="DL69" s="83"/>
      <c r="DM69" s="83"/>
      <c r="DN69" s="83"/>
      <c r="DO69" s="83"/>
      <c r="DP69" s="83"/>
      <c r="DQ69" s="83"/>
      <c r="DR69" s="83"/>
      <c r="DS69" s="83"/>
      <c r="DT69" s="83"/>
      <c r="DU69" s="83"/>
      <c r="DV69" s="83"/>
      <c r="DW69" s="83"/>
      <c r="DX69" s="83"/>
      <c r="DY69" s="83"/>
      <c r="DZ69" s="83"/>
      <c r="EA69" s="83"/>
      <c r="EB69" s="83"/>
      <c r="EC69" s="83"/>
      <c r="ED69" s="83"/>
      <c r="EE69" s="83"/>
      <c r="EF69" s="83"/>
      <c r="EG69" s="83"/>
      <c r="EH69" s="83"/>
      <c r="EI69" s="83"/>
      <c r="EJ69" s="85"/>
      <c r="EK69" s="83"/>
      <c r="EL69" s="83"/>
      <c r="EM69" s="83"/>
      <c r="EN69" s="83"/>
    </row>
    <row r="70" spans="3:145" x14ac:dyDescent="0.2">
      <c r="C70" s="45"/>
      <c r="D70" s="45"/>
      <c r="J70" s="22"/>
      <c r="AY70" s="87"/>
      <c r="BH70" s="83"/>
      <c r="BI70" s="83"/>
      <c r="BJ70" s="84"/>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c r="DD70" s="83"/>
      <c r="DE70" s="83"/>
      <c r="DF70" s="83"/>
      <c r="DG70" s="83"/>
      <c r="DH70" s="83"/>
      <c r="DI70" s="83"/>
      <c r="DJ70" s="83"/>
      <c r="DK70" s="83"/>
      <c r="DL70" s="83"/>
      <c r="DM70" s="83"/>
      <c r="DN70" s="83"/>
      <c r="DO70" s="83"/>
      <c r="DP70" s="83"/>
      <c r="DQ70" s="83"/>
      <c r="DR70" s="83"/>
      <c r="DS70" s="83"/>
      <c r="DT70" s="83"/>
      <c r="DU70" s="83"/>
      <c r="DV70" s="83"/>
      <c r="DW70" s="83"/>
      <c r="DX70" s="83"/>
      <c r="DY70" s="83"/>
      <c r="DZ70" s="83"/>
      <c r="EA70" s="83"/>
      <c r="EB70" s="83"/>
      <c r="EC70" s="83"/>
      <c r="ED70" s="83"/>
      <c r="EE70" s="83"/>
      <c r="EF70" s="83"/>
      <c r="EG70" s="83"/>
      <c r="EH70" s="83"/>
      <c r="EI70" s="83"/>
      <c r="EJ70" s="85"/>
      <c r="EK70" s="83"/>
      <c r="EL70" s="83"/>
      <c r="EM70" s="83"/>
      <c r="EN70" s="83"/>
    </row>
    <row r="71" spans="3:145" x14ac:dyDescent="0.2">
      <c r="C71" s="45"/>
      <c r="D71" s="45"/>
      <c r="J71" s="22"/>
      <c r="AY71" s="87"/>
      <c r="BH71" s="83"/>
      <c r="BI71" s="83"/>
      <c r="BJ71" s="84"/>
      <c r="BK71" s="83"/>
      <c r="BL71" s="83"/>
      <c r="BM71" s="83"/>
      <c r="BN71" s="83"/>
      <c r="BO71" s="83"/>
      <c r="BP71" s="83"/>
      <c r="BQ71" s="83"/>
      <c r="BR71" s="83"/>
      <c r="BS71" s="83"/>
      <c r="BT71" s="85"/>
      <c r="BU71" s="85"/>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c r="DD71" s="83"/>
      <c r="DE71" s="83"/>
      <c r="DF71" s="83"/>
      <c r="DG71" s="83"/>
      <c r="DH71" s="83"/>
      <c r="DI71" s="83"/>
      <c r="DJ71" s="83"/>
      <c r="DK71" s="83"/>
      <c r="DL71" s="83"/>
      <c r="DM71" s="83"/>
      <c r="DN71" s="83"/>
      <c r="DO71" s="83"/>
      <c r="DP71" s="83"/>
      <c r="DQ71" s="83"/>
      <c r="DR71" s="83"/>
      <c r="DS71" s="83"/>
      <c r="DT71" s="83"/>
      <c r="DU71" s="83"/>
      <c r="DV71" s="83"/>
      <c r="DW71" s="83"/>
      <c r="DX71" s="83"/>
      <c r="DY71" s="83"/>
      <c r="DZ71" s="83"/>
      <c r="EA71" s="83"/>
      <c r="EB71" s="83"/>
      <c r="EC71" s="83"/>
      <c r="ED71" s="83"/>
      <c r="EE71" s="83"/>
      <c r="EF71" s="83"/>
      <c r="EG71" s="83"/>
      <c r="EH71" s="83"/>
      <c r="EI71" s="83"/>
      <c r="EJ71" s="85"/>
      <c r="EK71" s="83"/>
      <c r="EL71" s="83"/>
      <c r="EM71" s="83"/>
      <c r="EN71" s="83"/>
    </row>
    <row r="72" spans="3:145" x14ac:dyDescent="0.2">
      <c r="C72" s="45"/>
      <c r="D72" s="45"/>
      <c r="J72" s="22"/>
      <c r="AY72" s="87"/>
      <c r="BH72" s="83"/>
      <c r="BI72" s="83"/>
      <c r="BJ72" s="84"/>
      <c r="BK72" s="83"/>
      <c r="BL72" s="83"/>
      <c r="BM72" s="83"/>
      <c r="BN72" s="83"/>
      <c r="BO72" s="83"/>
      <c r="BP72" s="83"/>
      <c r="BQ72" s="83"/>
      <c r="BR72" s="83"/>
      <c r="BS72" s="83"/>
      <c r="BT72" s="85"/>
      <c r="BU72" s="85"/>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c r="DD72" s="83"/>
      <c r="DE72" s="83"/>
      <c r="DF72" s="83"/>
      <c r="DG72" s="83"/>
      <c r="DH72" s="83"/>
      <c r="DI72" s="83"/>
      <c r="DJ72" s="83"/>
      <c r="DK72" s="83"/>
      <c r="DL72" s="83"/>
      <c r="DM72" s="83"/>
      <c r="DN72" s="83"/>
      <c r="DO72" s="83"/>
      <c r="DP72" s="83"/>
      <c r="DQ72" s="83"/>
      <c r="DR72" s="83"/>
      <c r="DS72" s="83"/>
      <c r="DT72" s="83"/>
      <c r="DU72" s="83"/>
      <c r="DV72" s="83"/>
      <c r="DW72" s="83"/>
      <c r="DX72" s="83"/>
      <c r="DY72" s="83"/>
      <c r="DZ72" s="83"/>
      <c r="EA72" s="83"/>
      <c r="EB72" s="83"/>
      <c r="EC72" s="83"/>
      <c r="ED72" s="83"/>
      <c r="EE72" s="83"/>
      <c r="EF72" s="83"/>
      <c r="EG72" s="83"/>
      <c r="EH72" s="83"/>
      <c r="EI72" s="83"/>
      <c r="EJ72" s="85"/>
      <c r="EK72" s="83"/>
      <c r="EL72" s="83"/>
      <c r="EM72" s="83"/>
      <c r="EN72" s="83"/>
    </row>
    <row r="73" spans="3:145" x14ac:dyDescent="0.2">
      <c r="C73" s="45"/>
      <c r="D73" s="45"/>
      <c r="J73" s="22"/>
      <c r="AY73" s="87"/>
      <c r="BH73" s="83"/>
      <c r="BI73" s="83"/>
      <c r="BJ73" s="84"/>
      <c r="BK73" s="83"/>
      <c r="BL73" s="83"/>
      <c r="BM73" s="83"/>
      <c r="BN73" s="83"/>
      <c r="BO73" s="83"/>
      <c r="BP73" s="83"/>
      <c r="BQ73" s="83"/>
      <c r="BR73" s="83"/>
      <c r="BS73" s="83"/>
      <c r="BT73" s="85"/>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c r="DD73" s="83"/>
      <c r="DE73" s="83"/>
      <c r="DF73" s="83"/>
      <c r="DG73" s="83"/>
      <c r="DH73" s="83"/>
      <c r="DI73" s="83"/>
      <c r="DJ73" s="83"/>
      <c r="DK73" s="83"/>
      <c r="DL73" s="83"/>
      <c r="DM73" s="83"/>
      <c r="DN73" s="83"/>
      <c r="DO73" s="83"/>
      <c r="DP73" s="83"/>
      <c r="DQ73" s="83"/>
      <c r="DR73" s="83"/>
      <c r="DS73" s="83"/>
      <c r="DT73" s="83"/>
      <c r="DU73" s="83"/>
      <c r="DV73" s="83"/>
      <c r="DW73" s="83"/>
      <c r="DX73" s="83"/>
      <c r="DY73" s="83"/>
      <c r="DZ73" s="83"/>
      <c r="EA73" s="83"/>
      <c r="EB73" s="83"/>
      <c r="EC73" s="83"/>
      <c r="ED73" s="83"/>
      <c r="EE73" s="83"/>
      <c r="EF73" s="83"/>
      <c r="EG73" s="83"/>
      <c r="EH73" s="83"/>
      <c r="EI73" s="83"/>
      <c r="EJ73" s="85"/>
      <c r="EK73" s="83"/>
      <c r="EL73" s="83"/>
      <c r="EM73" s="83"/>
      <c r="EN73" s="83"/>
    </row>
    <row r="74" spans="3:145" x14ac:dyDescent="0.2">
      <c r="C74" s="45"/>
      <c r="D74" s="45"/>
      <c r="J74" s="22"/>
      <c r="AY74" s="87"/>
      <c r="BH74" s="83"/>
      <c r="BI74" s="83"/>
      <c r="BJ74" s="84"/>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c r="DD74" s="83"/>
      <c r="DE74" s="83"/>
      <c r="DF74" s="83"/>
      <c r="DG74" s="83"/>
      <c r="DH74" s="83"/>
      <c r="DI74" s="83"/>
      <c r="DJ74" s="83"/>
      <c r="DK74" s="83"/>
      <c r="DL74" s="83"/>
      <c r="DM74" s="83"/>
      <c r="DN74" s="83"/>
      <c r="DO74" s="83"/>
      <c r="DP74" s="83"/>
      <c r="DQ74" s="83"/>
      <c r="DR74" s="83"/>
      <c r="DS74" s="83"/>
      <c r="DT74" s="83"/>
      <c r="DU74" s="83"/>
      <c r="DV74" s="83"/>
      <c r="DW74" s="83"/>
      <c r="DX74" s="83"/>
      <c r="DY74" s="83"/>
      <c r="DZ74" s="83"/>
      <c r="EA74" s="83"/>
      <c r="EB74" s="83"/>
      <c r="EC74" s="83"/>
      <c r="ED74" s="83"/>
      <c r="EE74" s="83"/>
      <c r="EF74" s="83"/>
      <c r="EG74" s="83"/>
      <c r="EH74" s="83"/>
      <c r="EI74" s="83"/>
      <c r="EJ74" s="85"/>
      <c r="EK74" s="83"/>
      <c r="EL74" s="83"/>
      <c r="EM74" s="83"/>
      <c r="EN74" s="83"/>
    </row>
    <row r="75" spans="3:145" x14ac:dyDescent="0.2">
      <c r="C75" s="45"/>
      <c r="D75" s="45"/>
      <c r="J75" s="22"/>
      <c r="AY75" s="87"/>
      <c r="BH75" s="83"/>
      <c r="BI75" s="83"/>
      <c r="BJ75" s="84"/>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c r="DD75" s="83"/>
      <c r="DE75" s="83"/>
      <c r="DF75" s="83"/>
      <c r="DG75" s="83"/>
      <c r="DH75" s="83"/>
      <c r="DI75" s="83"/>
      <c r="DJ75" s="83"/>
      <c r="DK75" s="83"/>
      <c r="DL75" s="83"/>
      <c r="DM75" s="83"/>
      <c r="DN75" s="83"/>
      <c r="DO75" s="83"/>
      <c r="DP75" s="83"/>
      <c r="DQ75" s="83"/>
      <c r="DR75" s="83"/>
      <c r="DS75" s="83"/>
      <c r="DT75" s="83"/>
      <c r="DU75" s="83"/>
      <c r="DV75" s="83"/>
      <c r="DW75" s="83"/>
      <c r="DX75" s="83"/>
      <c r="DY75" s="83"/>
      <c r="DZ75" s="83"/>
      <c r="EA75" s="83"/>
      <c r="EB75" s="83"/>
      <c r="EC75" s="83"/>
      <c r="ED75" s="83"/>
      <c r="EE75" s="83"/>
      <c r="EF75" s="83"/>
      <c r="EG75" s="83"/>
      <c r="EH75" s="83"/>
      <c r="EI75" s="83"/>
      <c r="EJ75" s="85"/>
      <c r="EK75" s="83"/>
      <c r="EL75" s="83"/>
      <c r="EM75" s="83"/>
      <c r="EN75" s="83"/>
    </row>
    <row r="76" spans="3:145" x14ac:dyDescent="0.2">
      <c r="C76" s="45"/>
      <c r="D76" s="45"/>
      <c r="J76" s="22"/>
      <c r="AY76" s="87"/>
      <c r="BH76" s="83"/>
      <c r="BI76" s="83"/>
      <c r="BJ76" s="84"/>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c r="DD76" s="83"/>
      <c r="DE76" s="83"/>
      <c r="DF76" s="83"/>
      <c r="DG76" s="83"/>
      <c r="DH76" s="83"/>
      <c r="DI76" s="83"/>
      <c r="DJ76" s="83"/>
      <c r="DK76" s="83"/>
      <c r="DL76" s="83"/>
      <c r="DM76" s="83"/>
      <c r="DN76" s="83"/>
      <c r="DO76" s="83"/>
      <c r="DP76" s="83"/>
      <c r="DQ76" s="83"/>
      <c r="DR76" s="83"/>
      <c r="DS76" s="83"/>
      <c r="DT76" s="83"/>
      <c r="DU76" s="83"/>
      <c r="DV76" s="83"/>
      <c r="DW76" s="83"/>
      <c r="DX76" s="83"/>
      <c r="DY76" s="83"/>
      <c r="DZ76" s="83"/>
      <c r="EA76" s="83"/>
      <c r="EB76" s="83"/>
      <c r="EC76" s="83"/>
      <c r="ED76" s="83"/>
      <c r="EE76" s="83"/>
      <c r="EF76" s="83"/>
      <c r="EG76" s="83"/>
      <c r="EH76" s="83"/>
      <c r="EI76" s="83"/>
      <c r="EJ76" s="85"/>
      <c r="EK76" s="83"/>
      <c r="EL76" s="83"/>
      <c r="EM76" s="83"/>
      <c r="EN76" s="83"/>
    </row>
    <row r="77" spans="3:145" x14ac:dyDescent="0.2">
      <c r="C77" s="45"/>
      <c r="D77" s="45"/>
      <c r="J77" s="22"/>
      <c r="AY77" s="87"/>
      <c r="BH77" s="83"/>
      <c r="BI77" s="83"/>
      <c r="BJ77" s="84"/>
      <c r="BK77" s="83"/>
      <c r="BL77" s="83"/>
      <c r="BM77" s="83"/>
      <c r="BN77" s="83"/>
      <c r="BO77" s="83"/>
      <c r="BP77" s="83"/>
      <c r="BQ77" s="83"/>
      <c r="BR77" s="83"/>
      <c r="BS77" s="83"/>
      <c r="BT77" s="85"/>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c r="DD77" s="83"/>
      <c r="DE77" s="83"/>
      <c r="DF77" s="83"/>
      <c r="DG77" s="83"/>
      <c r="DH77" s="83"/>
      <c r="DI77" s="83"/>
      <c r="DJ77" s="83"/>
      <c r="DK77" s="83"/>
      <c r="DL77" s="83"/>
      <c r="DM77" s="83"/>
      <c r="DN77" s="83"/>
      <c r="DO77" s="83"/>
      <c r="DP77" s="83"/>
      <c r="DQ77" s="83"/>
      <c r="DR77" s="83"/>
      <c r="DS77" s="83"/>
      <c r="DT77" s="83"/>
      <c r="DU77" s="83"/>
      <c r="DV77" s="83"/>
      <c r="DW77" s="83"/>
      <c r="DX77" s="83"/>
      <c r="DY77" s="83"/>
      <c r="DZ77" s="83"/>
      <c r="EA77" s="83"/>
      <c r="EB77" s="83"/>
      <c r="EC77" s="83"/>
      <c r="ED77" s="83"/>
      <c r="EE77" s="83"/>
      <c r="EF77" s="83"/>
      <c r="EG77" s="83"/>
      <c r="EH77" s="83"/>
      <c r="EI77" s="83"/>
      <c r="EJ77" s="85"/>
      <c r="EK77" s="83"/>
      <c r="EL77" s="83"/>
      <c r="EM77" s="83"/>
      <c r="EN77" s="83"/>
    </row>
    <row r="78" spans="3:145" x14ac:dyDescent="0.2">
      <c r="C78" s="45"/>
      <c r="D78" s="45"/>
      <c r="J78" s="22"/>
      <c r="AY78" s="87"/>
      <c r="BH78" s="83"/>
      <c r="BI78" s="83"/>
      <c r="BJ78" s="84"/>
      <c r="BK78" s="83"/>
      <c r="BL78" s="83"/>
      <c r="BM78" s="83"/>
      <c r="BN78" s="83"/>
      <c r="BO78" s="83"/>
      <c r="BP78" s="83"/>
      <c r="BQ78" s="83"/>
      <c r="BR78" s="83"/>
      <c r="BS78" s="83"/>
      <c r="BT78" s="85"/>
      <c r="BU78" s="85"/>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c r="DD78" s="83"/>
      <c r="DE78" s="83"/>
      <c r="DF78" s="83"/>
      <c r="DG78" s="83"/>
      <c r="DH78" s="83"/>
      <c r="DI78" s="83"/>
      <c r="DJ78" s="83"/>
      <c r="DK78" s="83"/>
      <c r="DL78" s="83"/>
      <c r="DM78" s="83"/>
      <c r="DN78" s="83"/>
      <c r="DO78" s="83"/>
      <c r="DP78" s="83"/>
      <c r="DQ78" s="83"/>
      <c r="DR78" s="83"/>
      <c r="DS78" s="83"/>
      <c r="DT78" s="83"/>
      <c r="DU78" s="83"/>
      <c r="DV78" s="83"/>
      <c r="DW78" s="83"/>
      <c r="DX78" s="83"/>
      <c r="DY78" s="83"/>
      <c r="DZ78" s="83"/>
      <c r="EA78" s="83"/>
      <c r="EB78" s="83"/>
      <c r="EC78" s="83"/>
      <c r="ED78" s="83"/>
      <c r="EE78" s="83"/>
      <c r="EF78" s="83"/>
      <c r="EG78" s="83"/>
      <c r="EH78" s="83"/>
      <c r="EI78" s="83"/>
      <c r="EJ78" s="85"/>
      <c r="EK78" s="83"/>
      <c r="EL78" s="83"/>
      <c r="EM78" s="83"/>
      <c r="EN78" s="83"/>
    </row>
    <row r="79" spans="3:145" x14ac:dyDescent="0.2">
      <c r="C79" s="45"/>
      <c r="D79" s="45"/>
      <c r="J79" s="22"/>
      <c r="AY79" s="87"/>
      <c r="BH79" s="83"/>
      <c r="BI79" s="83"/>
      <c r="BJ79" s="84"/>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c r="DD79" s="83"/>
      <c r="DE79" s="83"/>
      <c r="DF79" s="83"/>
      <c r="DG79" s="83"/>
      <c r="DH79" s="83"/>
      <c r="DI79" s="83"/>
      <c r="DJ79" s="83"/>
      <c r="DK79" s="83"/>
      <c r="DL79" s="83"/>
      <c r="DM79" s="83"/>
      <c r="DN79" s="83"/>
      <c r="DO79" s="83"/>
      <c r="DP79" s="83"/>
      <c r="DQ79" s="83"/>
      <c r="DR79" s="83"/>
      <c r="DS79" s="83"/>
      <c r="DT79" s="83"/>
      <c r="DU79" s="83"/>
      <c r="DV79" s="83"/>
      <c r="DW79" s="83"/>
      <c r="DX79" s="83"/>
      <c r="DY79" s="83"/>
      <c r="DZ79" s="83"/>
      <c r="EA79" s="83"/>
      <c r="EB79" s="83"/>
      <c r="EC79" s="83"/>
      <c r="ED79" s="83"/>
      <c r="EE79" s="83"/>
      <c r="EF79" s="83"/>
      <c r="EG79" s="83"/>
      <c r="EH79" s="83"/>
      <c r="EI79" s="83"/>
      <c r="EJ79" s="85"/>
      <c r="EK79" s="83"/>
      <c r="EL79" s="83"/>
      <c r="EM79" s="83"/>
      <c r="EN79" s="83"/>
    </row>
    <row r="80" spans="3:145" x14ac:dyDescent="0.2">
      <c r="C80" s="45"/>
      <c r="D80" s="45"/>
      <c r="J80" s="22"/>
      <c r="AY80" s="87"/>
      <c r="BH80" s="83"/>
      <c r="BI80" s="83"/>
      <c r="BJ80" s="84"/>
      <c r="BK80" s="83"/>
      <c r="BL80" s="83"/>
      <c r="BM80" s="83"/>
      <c r="BN80" s="83"/>
      <c r="BO80" s="83"/>
      <c r="BP80" s="83"/>
      <c r="BQ80" s="83"/>
      <c r="BR80" s="83"/>
      <c r="BS80" s="83"/>
      <c r="BT80" s="85"/>
      <c r="BU80" s="85"/>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c r="DD80" s="83"/>
      <c r="DE80" s="83"/>
      <c r="DF80" s="83"/>
      <c r="DG80" s="83"/>
      <c r="DH80" s="83"/>
      <c r="DI80" s="83"/>
      <c r="DJ80" s="83"/>
      <c r="DK80" s="83"/>
      <c r="DL80" s="83"/>
      <c r="DM80" s="83"/>
      <c r="DN80" s="83"/>
      <c r="DO80" s="83"/>
      <c r="DP80" s="83"/>
      <c r="DQ80" s="83"/>
      <c r="DR80" s="83"/>
      <c r="DS80" s="83"/>
      <c r="DT80" s="83"/>
      <c r="DU80" s="83"/>
      <c r="DV80" s="83"/>
      <c r="DW80" s="83"/>
      <c r="DX80" s="83"/>
      <c r="DY80" s="83"/>
      <c r="DZ80" s="83"/>
      <c r="EA80" s="83"/>
      <c r="EB80" s="83"/>
      <c r="EC80" s="83"/>
      <c r="ED80" s="83"/>
      <c r="EE80" s="83"/>
      <c r="EF80" s="83"/>
      <c r="EG80" s="83"/>
      <c r="EH80" s="83"/>
      <c r="EI80" s="83"/>
      <c r="EJ80" s="85"/>
      <c r="EK80" s="83"/>
      <c r="EL80" s="83"/>
      <c r="EM80" s="83"/>
      <c r="EN80" s="83"/>
    </row>
    <row r="81" spans="3:144" x14ac:dyDescent="0.2">
      <c r="C81" s="45"/>
      <c r="D81" s="45"/>
      <c r="J81" s="22"/>
      <c r="AY81" s="87"/>
      <c r="BH81" s="83"/>
      <c r="BI81" s="83"/>
      <c r="BJ81" s="84"/>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c r="DD81" s="83"/>
      <c r="DE81" s="83"/>
      <c r="DF81" s="83"/>
      <c r="DG81" s="83"/>
      <c r="DH81" s="83"/>
      <c r="DI81" s="83"/>
      <c r="DJ81" s="83"/>
      <c r="DK81" s="83"/>
      <c r="DL81" s="83"/>
      <c r="DM81" s="83"/>
      <c r="DN81" s="83"/>
      <c r="DO81" s="83"/>
      <c r="DP81" s="83"/>
      <c r="DQ81" s="83"/>
      <c r="DR81" s="83"/>
      <c r="DS81" s="83"/>
      <c r="DT81" s="83"/>
      <c r="DU81" s="83"/>
      <c r="DV81" s="83"/>
      <c r="DW81" s="83"/>
      <c r="DX81" s="83"/>
      <c r="DY81" s="83"/>
      <c r="DZ81" s="83"/>
      <c r="EA81" s="83"/>
      <c r="EB81" s="83"/>
      <c r="EC81" s="83"/>
      <c r="ED81" s="83"/>
      <c r="EE81" s="83"/>
      <c r="EF81" s="83"/>
      <c r="EG81" s="83"/>
      <c r="EH81" s="83"/>
      <c r="EI81" s="83"/>
      <c r="EJ81" s="85"/>
      <c r="EK81" s="83"/>
      <c r="EL81" s="83"/>
      <c r="EM81" s="83"/>
      <c r="EN81" s="83"/>
    </row>
    <row r="82" spans="3:144" x14ac:dyDescent="0.2">
      <c r="C82" s="45"/>
      <c r="D82" s="45"/>
      <c r="BH82" s="83"/>
      <c r="BI82" s="83"/>
      <c r="BJ82" s="84"/>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c r="DD82" s="83"/>
      <c r="DE82" s="83"/>
      <c r="DF82" s="83"/>
      <c r="DG82" s="83"/>
      <c r="DH82" s="83"/>
      <c r="DI82" s="83"/>
      <c r="DJ82" s="83"/>
      <c r="DK82" s="83"/>
      <c r="DL82" s="83"/>
      <c r="DM82" s="83"/>
      <c r="DN82" s="83"/>
      <c r="DO82" s="83"/>
      <c r="DP82" s="83"/>
      <c r="DQ82" s="83"/>
      <c r="DR82" s="83"/>
      <c r="DS82" s="83"/>
      <c r="DT82" s="83"/>
      <c r="DU82" s="83"/>
      <c r="DV82" s="83"/>
      <c r="DW82" s="83"/>
      <c r="DX82" s="83"/>
      <c r="DY82" s="83"/>
      <c r="DZ82" s="83"/>
      <c r="EA82" s="83"/>
      <c r="EB82" s="83"/>
      <c r="EC82" s="83"/>
      <c r="ED82" s="83"/>
      <c r="EE82" s="83"/>
      <c r="EF82" s="83"/>
      <c r="EG82" s="83"/>
      <c r="EH82" s="83"/>
      <c r="EI82" s="83"/>
      <c r="EJ82" s="85"/>
      <c r="EK82" s="83"/>
      <c r="EL82" s="83"/>
      <c r="EM82" s="83"/>
      <c r="EN82" s="83"/>
    </row>
    <row r="83" spans="3:144" x14ac:dyDescent="0.2">
      <c r="C83" s="45"/>
      <c r="D83" s="45"/>
      <c r="BH83" s="83"/>
      <c r="BI83" s="83"/>
      <c r="BJ83" s="84"/>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c r="DD83" s="83"/>
      <c r="DE83" s="83"/>
      <c r="DF83" s="83"/>
      <c r="DG83" s="83"/>
      <c r="DH83" s="83"/>
      <c r="DI83" s="83"/>
      <c r="DJ83" s="83"/>
      <c r="DK83" s="83"/>
      <c r="DL83" s="83"/>
      <c r="DM83" s="83"/>
      <c r="DN83" s="83"/>
      <c r="DO83" s="83"/>
      <c r="DP83" s="83"/>
      <c r="DQ83" s="83"/>
      <c r="DR83" s="83"/>
      <c r="DS83" s="83"/>
      <c r="DT83" s="83"/>
      <c r="DU83" s="83"/>
      <c r="DV83" s="83"/>
      <c r="DW83" s="83"/>
      <c r="DX83" s="83"/>
      <c r="DY83" s="83"/>
      <c r="DZ83" s="83"/>
      <c r="EA83" s="83"/>
      <c r="EB83" s="83"/>
      <c r="EC83" s="83"/>
      <c r="ED83" s="83"/>
      <c r="EE83" s="83"/>
      <c r="EF83" s="83"/>
      <c r="EG83" s="83"/>
      <c r="EH83" s="83"/>
      <c r="EI83" s="83"/>
      <c r="EJ83" s="85"/>
      <c r="EK83" s="83"/>
      <c r="EL83" s="83"/>
      <c r="EM83" s="83"/>
      <c r="EN83" s="83"/>
    </row>
    <row r="84" spans="3:144" x14ac:dyDescent="0.2">
      <c r="C84" s="45"/>
      <c r="D84" s="45"/>
      <c r="BH84" s="83"/>
      <c r="BI84" s="83"/>
      <c r="BJ84" s="84"/>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c r="DD84" s="83"/>
      <c r="DE84" s="83"/>
      <c r="DF84" s="83"/>
      <c r="DG84" s="83"/>
      <c r="DH84" s="83"/>
      <c r="DI84" s="83"/>
      <c r="DJ84" s="83"/>
      <c r="DK84" s="83"/>
      <c r="DL84" s="83"/>
      <c r="DM84" s="83"/>
      <c r="DN84" s="83"/>
      <c r="DO84" s="83"/>
      <c r="DP84" s="83"/>
      <c r="DQ84" s="83"/>
      <c r="DR84" s="83"/>
      <c r="DS84" s="83"/>
      <c r="DT84" s="83"/>
      <c r="DU84" s="83"/>
      <c r="DV84" s="83"/>
      <c r="DW84" s="83"/>
      <c r="DX84" s="83"/>
      <c r="DY84" s="83"/>
      <c r="DZ84" s="83"/>
      <c r="EA84" s="83"/>
      <c r="EB84" s="83"/>
      <c r="EC84" s="83"/>
      <c r="ED84" s="83"/>
      <c r="EE84" s="83"/>
      <c r="EF84" s="83"/>
      <c r="EG84" s="83"/>
      <c r="EH84" s="83"/>
      <c r="EI84" s="83"/>
      <c r="EJ84" s="85"/>
      <c r="EK84" s="83"/>
      <c r="EL84" s="83"/>
      <c r="EM84" s="83"/>
      <c r="EN84" s="83"/>
    </row>
    <row r="85" spans="3:144" x14ac:dyDescent="0.2">
      <c r="C85" s="45"/>
      <c r="D85" s="45"/>
      <c r="BH85" s="83"/>
      <c r="BI85" s="83"/>
      <c r="BJ85" s="84"/>
      <c r="BK85" s="83"/>
      <c r="BL85" s="83"/>
      <c r="BM85" s="83"/>
      <c r="BN85" s="83"/>
      <c r="BO85" s="83"/>
      <c r="BP85" s="83"/>
      <c r="BQ85" s="83"/>
      <c r="BR85" s="83"/>
      <c r="BS85" s="83"/>
      <c r="BT85" s="85"/>
      <c r="BU85" s="85"/>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c r="DD85" s="83"/>
      <c r="DE85" s="83"/>
      <c r="DF85" s="83"/>
      <c r="DG85" s="83"/>
      <c r="DH85" s="83"/>
      <c r="DI85" s="83"/>
      <c r="DJ85" s="83"/>
      <c r="DK85" s="83"/>
      <c r="DL85" s="83"/>
      <c r="DM85" s="83"/>
      <c r="DN85" s="83"/>
      <c r="DO85" s="83"/>
      <c r="DP85" s="83"/>
      <c r="DQ85" s="83"/>
      <c r="DR85" s="83"/>
      <c r="DS85" s="83"/>
      <c r="DT85" s="83"/>
      <c r="DU85" s="83"/>
      <c r="DV85" s="83"/>
      <c r="DW85" s="83"/>
      <c r="DX85" s="83"/>
      <c r="DY85" s="83"/>
      <c r="DZ85" s="83"/>
      <c r="EA85" s="83"/>
      <c r="EB85" s="83"/>
      <c r="EC85" s="83"/>
      <c r="ED85" s="83"/>
      <c r="EE85" s="83"/>
      <c r="EF85" s="83"/>
      <c r="EG85" s="83"/>
      <c r="EH85" s="83"/>
      <c r="EI85" s="83"/>
      <c r="EJ85" s="85"/>
      <c r="EK85" s="83"/>
      <c r="EL85" s="83"/>
      <c r="EM85" s="83"/>
      <c r="EN85" s="83"/>
    </row>
    <row r="86" spans="3:144" x14ac:dyDescent="0.2">
      <c r="C86" s="45"/>
      <c r="D86" s="45"/>
      <c r="BH86" s="83"/>
      <c r="BI86" s="83"/>
      <c r="BJ86" s="84"/>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c r="DD86" s="83"/>
      <c r="DE86" s="83"/>
      <c r="DF86" s="83"/>
      <c r="DG86" s="83"/>
      <c r="DH86" s="83"/>
      <c r="DI86" s="83"/>
      <c r="DJ86" s="83"/>
      <c r="DK86" s="83"/>
      <c r="DL86" s="83"/>
      <c r="DM86" s="83"/>
      <c r="DN86" s="83"/>
      <c r="DO86" s="83"/>
      <c r="DP86" s="83"/>
      <c r="DQ86" s="83"/>
      <c r="DR86" s="83"/>
      <c r="DS86" s="83"/>
      <c r="DT86" s="83"/>
      <c r="DU86" s="83"/>
      <c r="DV86" s="83"/>
      <c r="DW86" s="83"/>
      <c r="DX86" s="83"/>
      <c r="DY86" s="83"/>
      <c r="DZ86" s="83"/>
      <c r="EA86" s="83"/>
      <c r="EB86" s="83"/>
      <c r="EC86" s="83"/>
      <c r="ED86" s="83"/>
      <c r="EE86" s="83"/>
      <c r="EF86" s="83"/>
      <c r="EG86" s="83"/>
      <c r="EH86" s="83"/>
      <c r="EI86" s="83"/>
      <c r="EJ86" s="85"/>
      <c r="EK86" s="83"/>
      <c r="EL86" s="83"/>
      <c r="EM86" s="83"/>
      <c r="EN86" s="83"/>
    </row>
    <row r="87" spans="3:144" x14ac:dyDescent="0.2">
      <c r="C87" s="45"/>
      <c r="D87" s="45"/>
      <c r="BH87" s="83"/>
      <c r="BI87" s="83"/>
      <c r="BJ87" s="84"/>
      <c r="BK87" s="83"/>
      <c r="BL87" s="83"/>
      <c r="BM87" s="83"/>
      <c r="BN87" s="83"/>
      <c r="BO87" s="83"/>
      <c r="BP87" s="83"/>
      <c r="BQ87" s="83"/>
      <c r="BR87" s="83"/>
      <c r="BS87" s="83"/>
      <c r="BT87" s="85"/>
      <c r="BU87" s="85"/>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c r="DD87" s="83"/>
      <c r="DE87" s="83"/>
      <c r="DF87" s="83"/>
      <c r="DG87" s="83"/>
      <c r="DH87" s="83"/>
      <c r="DI87" s="83"/>
      <c r="DJ87" s="83"/>
      <c r="DK87" s="83"/>
      <c r="DL87" s="83"/>
      <c r="DM87" s="83"/>
      <c r="DN87" s="83"/>
      <c r="DO87" s="83"/>
      <c r="DP87" s="83"/>
      <c r="DQ87" s="83"/>
      <c r="DR87" s="83"/>
      <c r="DS87" s="83"/>
      <c r="DT87" s="83"/>
      <c r="DU87" s="83"/>
      <c r="DV87" s="83"/>
      <c r="DW87" s="83"/>
      <c r="DX87" s="83"/>
      <c r="DY87" s="83"/>
      <c r="DZ87" s="83"/>
      <c r="EA87" s="83"/>
      <c r="EB87" s="83"/>
      <c r="EC87" s="83"/>
      <c r="ED87" s="83"/>
      <c r="EE87" s="83"/>
      <c r="EF87" s="83"/>
      <c r="EG87" s="83"/>
      <c r="EH87" s="83"/>
      <c r="EI87" s="83"/>
      <c r="EJ87" s="85"/>
      <c r="EK87" s="83"/>
      <c r="EL87" s="83"/>
      <c r="EM87" s="83"/>
      <c r="EN87" s="83"/>
    </row>
    <row r="88" spans="3:144" x14ac:dyDescent="0.2">
      <c r="C88" s="45"/>
      <c r="D88" s="45"/>
      <c r="BH88" s="83"/>
      <c r="BI88" s="83"/>
      <c r="BJ88" s="84"/>
      <c r="BK88" s="83"/>
      <c r="BL88" s="83"/>
      <c r="BM88" s="83"/>
      <c r="BN88" s="83"/>
      <c r="BO88" s="83"/>
      <c r="BP88" s="83"/>
      <c r="BQ88" s="83"/>
      <c r="BR88" s="83"/>
      <c r="BS88" s="83"/>
      <c r="BT88" s="85"/>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c r="DD88" s="83"/>
      <c r="DE88" s="83"/>
      <c r="DF88" s="83"/>
      <c r="DG88" s="83"/>
      <c r="DH88" s="83"/>
      <c r="DI88" s="83"/>
      <c r="DJ88" s="83"/>
      <c r="DK88" s="83"/>
      <c r="DL88" s="83"/>
      <c r="DM88" s="83"/>
      <c r="DN88" s="83"/>
      <c r="DO88" s="83"/>
      <c r="DP88" s="83"/>
      <c r="DQ88" s="83"/>
      <c r="DR88" s="83"/>
      <c r="DS88" s="83"/>
      <c r="DT88" s="83"/>
      <c r="DU88" s="83"/>
      <c r="DV88" s="83"/>
      <c r="DW88" s="83"/>
      <c r="DX88" s="83"/>
      <c r="DY88" s="83"/>
      <c r="DZ88" s="83"/>
      <c r="EA88" s="83"/>
      <c r="EB88" s="83"/>
      <c r="EC88" s="83"/>
      <c r="ED88" s="83"/>
      <c r="EE88" s="83"/>
      <c r="EF88" s="83"/>
      <c r="EG88" s="83"/>
      <c r="EH88" s="83"/>
      <c r="EI88" s="83"/>
      <c r="EJ88" s="85"/>
      <c r="EK88" s="83"/>
      <c r="EL88" s="83"/>
      <c r="EM88" s="83"/>
      <c r="EN88" s="83"/>
    </row>
    <row r="89" spans="3:144" x14ac:dyDescent="0.2">
      <c r="C89" s="45"/>
      <c r="D89" s="45"/>
      <c r="BH89" s="83"/>
      <c r="BI89" s="83"/>
      <c r="BJ89" s="84"/>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c r="DD89" s="83"/>
      <c r="DE89" s="83"/>
      <c r="DF89" s="83"/>
      <c r="DG89" s="83"/>
      <c r="DH89" s="83"/>
      <c r="DI89" s="83"/>
      <c r="DJ89" s="83"/>
      <c r="DK89" s="83"/>
      <c r="DL89" s="83"/>
      <c r="DM89" s="83"/>
      <c r="DN89" s="83"/>
      <c r="DO89" s="83"/>
      <c r="DP89" s="83"/>
      <c r="DQ89" s="83"/>
      <c r="DR89" s="83"/>
      <c r="DS89" s="83"/>
      <c r="DT89" s="83"/>
      <c r="DU89" s="83"/>
      <c r="DV89" s="83"/>
      <c r="DW89" s="83"/>
      <c r="DX89" s="83"/>
      <c r="DY89" s="83"/>
      <c r="DZ89" s="83"/>
      <c r="EA89" s="83"/>
      <c r="EB89" s="83"/>
      <c r="EC89" s="83"/>
      <c r="ED89" s="83"/>
      <c r="EE89" s="83"/>
      <c r="EF89" s="83"/>
      <c r="EG89" s="83"/>
      <c r="EH89" s="83"/>
      <c r="EI89" s="83"/>
      <c r="EJ89" s="85"/>
      <c r="EK89" s="83"/>
      <c r="EL89" s="83"/>
      <c r="EM89" s="83"/>
      <c r="EN89" s="83"/>
    </row>
    <row r="90" spans="3:144" x14ac:dyDescent="0.2">
      <c r="C90" s="45"/>
      <c r="D90" s="45"/>
      <c r="BH90" s="83"/>
      <c r="BI90" s="83"/>
      <c r="BJ90" s="84"/>
      <c r="BK90" s="83"/>
      <c r="BL90" s="83"/>
      <c r="BM90" s="83"/>
      <c r="BN90" s="83"/>
      <c r="BO90" s="83"/>
      <c r="BP90" s="83"/>
      <c r="BQ90" s="83"/>
      <c r="BR90" s="83"/>
      <c r="BS90" s="83"/>
      <c r="BT90" s="85"/>
      <c r="BU90" s="85"/>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c r="DD90" s="83"/>
      <c r="DE90" s="83"/>
      <c r="DF90" s="83"/>
      <c r="DG90" s="83"/>
      <c r="DH90" s="83"/>
      <c r="DI90" s="83"/>
      <c r="DJ90" s="83"/>
      <c r="DK90" s="83"/>
      <c r="DL90" s="83"/>
      <c r="DM90" s="83"/>
      <c r="DN90" s="83"/>
      <c r="DO90" s="83"/>
      <c r="DP90" s="83"/>
      <c r="DQ90" s="83"/>
      <c r="DR90" s="83"/>
      <c r="DS90" s="83"/>
      <c r="DT90" s="83"/>
      <c r="DU90" s="83"/>
      <c r="DV90" s="83"/>
      <c r="DW90" s="83"/>
      <c r="DX90" s="83"/>
      <c r="DY90" s="83"/>
      <c r="DZ90" s="83"/>
      <c r="EA90" s="83"/>
      <c r="EB90" s="83"/>
      <c r="EC90" s="83"/>
      <c r="ED90" s="83"/>
      <c r="EE90" s="83"/>
      <c r="EF90" s="83"/>
      <c r="EG90" s="83"/>
      <c r="EH90" s="83"/>
      <c r="EI90" s="83"/>
      <c r="EJ90" s="85"/>
      <c r="EK90" s="83"/>
      <c r="EL90" s="83"/>
      <c r="EM90" s="83"/>
      <c r="EN90" s="83"/>
    </row>
    <row r="91" spans="3:144" x14ac:dyDescent="0.2">
      <c r="C91" s="45"/>
      <c r="D91" s="45"/>
      <c r="BH91" s="83"/>
      <c r="BI91" s="83"/>
      <c r="BJ91" s="84"/>
      <c r="BK91" s="83"/>
      <c r="BL91" s="83"/>
      <c r="BM91" s="83"/>
      <c r="BN91" s="83"/>
      <c r="BO91" s="83"/>
      <c r="BP91" s="83"/>
      <c r="BQ91" s="83"/>
      <c r="BR91" s="83"/>
      <c r="BS91" s="83"/>
      <c r="BT91" s="85"/>
      <c r="BU91" s="85"/>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c r="DD91" s="83"/>
      <c r="DE91" s="83"/>
      <c r="DF91" s="83"/>
      <c r="DG91" s="83"/>
      <c r="DH91" s="83"/>
      <c r="DI91" s="83"/>
      <c r="DJ91" s="83"/>
      <c r="DK91" s="83"/>
      <c r="DL91" s="83"/>
      <c r="DM91" s="83"/>
      <c r="DN91" s="83"/>
      <c r="DO91" s="83"/>
      <c r="DP91" s="83"/>
      <c r="DQ91" s="83"/>
      <c r="DR91" s="83"/>
      <c r="DS91" s="83"/>
      <c r="DT91" s="83"/>
      <c r="DU91" s="83"/>
      <c r="DV91" s="83"/>
      <c r="DW91" s="83"/>
      <c r="DX91" s="83"/>
      <c r="DY91" s="83"/>
      <c r="DZ91" s="83"/>
      <c r="EA91" s="83"/>
      <c r="EB91" s="83"/>
      <c r="EC91" s="83"/>
      <c r="ED91" s="83"/>
      <c r="EE91" s="83"/>
      <c r="EF91" s="83"/>
      <c r="EG91" s="83"/>
      <c r="EH91" s="83"/>
      <c r="EI91" s="83"/>
      <c r="EJ91" s="85"/>
      <c r="EK91" s="83"/>
      <c r="EL91" s="83"/>
      <c r="EM91" s="83"/>
      <c r="EN91" s="83"/>
    </row>
    <row r="92" spans="3:144" x14ac:dyDescent="0.2">
      <c r="C92" s="45"/>
      <c r="D92" s="45"/>
      <c r="BH92" s="83"/>
      <c r="BI92" s="83"/>
      <c r="BJ92" s="84"/>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c r="DD92" s="83"/>
      <c r="DE92" s="83"/>
      <c r="DF92" s="83"/>
      <c r="DG92" s="83"/>
      <c r="DH92" s="83"/>
      <c r="DI92" s="83"/>
      <c r="DJ92" s="83"/>
      <c r="DK92" s="83"/>
      <c r="DL92" s="83"/>
      <c r="DM92" s="83"/>
      <c r="DN92" s="83"/>
      <c r="DO92" s="83"/>
      <c r="DP92" s="83"/>
      <c r="DQ92" s="83"/>
      <c r="DR92" s="83"/>
      <c r="DS92" s="83"/>
      <c r="DT92" s="83"/>
      <c r="DU92" s="83"/>
      <c r="DV92" s="83"/>
      <c r="DW92" s="83"/>
      <c r="DX92" s="83"/>
      <c r="DY92" s="83"/>
      <c r="DZ92" s="83"/>
      <c r="EA92" s="83"/>
      <c r="EB92" s="83"/>
      <c r="EC92" s="83"/>
      <c r="ED92" s="83"/>
      <c r="EE92" s="83"/>
      <c r="EF92" s="83"/>
      <c r="EG92" s="83"/>
      <c r="EH92" s="83"/>
      <c r="EI92" s="83"/>
      <c r="EJ92" s="85"/>
      <c r="EK92" s="83"/>
      <c r="EL92" s="83"/>
      <c r="EM92" s="83"/>
      <c r="EN92" s="83"/>
    </row>
    <row r="93" spans="3:144" x14ac:dyDescent="0.2">
      <c r="C93" s="45"/>
      <c r="D93" s="45"/>
      <c r="BH93" s="83"/>
      <c r="BI93" s="83"/>
      <c r="BJ93" s="84"/>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c r="DD93" s="83"/>
      <c r="DE93" s="83"/>
      <c r="DF93" s="83"/>
      <c r="DG93" s="83"/>
      <c r="DH93" s="83"/>
      <c r="DI93" s="83"/>
      <c r="DJ93" s="83"/>
      <c r="DK93" s="83"/>
      <c r="DL93" s="83"/>
      <c r="DM93" s="83"/>
      <c r="DN93" s="83"/>
      <c r="DO93" s="83"/>
      <c r="DP93" s="83"/>
      <c r="DQ93" s="83"/>
      <c r="DR93" s="83"/>
      <c r="DS93" s="83"/>
      <c r="DT93" s="83"/>
      <c r="DU93" s="83"/>
      <c r="DV93" s="83"/>
      <c r="DW93" s="83"/>
      <c r="DX93" s="83"/>
      <c r="DY93" s="83"/>
      <c r="DZ93" s="83"/>
      <c r="EA93" s="83"/>
      <c r="EB93" s="83"/>
      <c r="EC93" s="83"/>
      <c r="ED93" s="83"/>
      <c r="EE93" s="83"/>
      <c r="EF93" s="83"/>
      <c r="EG93" s="83"/>
      <c r="EH93" s="83"/>
      <c r="EI93" s="83"/>
      <c r="EJ93" s="85"/>
      <c r="EK93" s="83"/>
      <c r="EL93" s="83"/>
      <c r="EM93" s="83"/>
      <c r="EN93" s="83"/>
    </row>
    <row r="94" spans="3:144" x14ac:dyDescent="0.2">
      <c r="C94" s="45"/>
      <c r="D94" s="45"/>
      <c r="BH94" s="83"/>
      <c r="BI94" s="83"/>
      <c r="BJ94" s="84"/>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c r="DD94" s="83"/>
      <c r="DE94" s="83"/>
      <c r="DF94" s="83"/>
      <c r="DG94" s="83"/>
      <c r="DH94" s="83"/>
      <c r="DI94" s="83"/>
      <c r="DJ94" s="83"/>
      <c r="DK94" s="83"/>
      <c r="DL94" s="83"/>
      <c r="DM94" s="83"/>
      <c r="DN94" s="83"/>
      <c r="DO94" s="83"/>
      <c r="DP94" s="83"/>
      <c r="DQ94" s="83"/>
      <c r="DR94" s="83"/>
      <c r="DS94" s="83"/>
      <c r="DT94" s="83"/>
      <c r="DU94" s="83"/>
      <c r="DV94" s="83"/>
      <c r="DW94" s="83"/>
      <c r="DX94" s="83"/>
      <c r="DY94" s="83"/>
      <c r="DZ94" s="83"/>
      <c r="EA94" s="83"/>
      <c r="EB94" s="83"/>
      <c r="EC94" s="83"/>
      <c r="ED94" s="83"/>
      <c r="EE94" s="83"/>
      <c r="EF94" s="83"/>
      <c r="EG94" s="83"/>
      <c r="EH94" s="83"/>
      <c r="EI94" s="83"/>
      <c r="EJ94" s="85"/>
      <c r="EK94" s="83"/>
      <c r="EL94" s="83"/>
      <c r="EM94" s="83"/>
      <c r="EN94" s="83"/>
    </row>
    <row r="95" spans="3:144" x14ac:dyDescent="0.2">
      <c r="C95" s="45"/>
      <c r="D95" s="45"/>
      <c r="BH95" s="83"/>
      <c r="BI95" s="83"/>
      <c r="BJ95" s="84"/>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c r="DD95" s="83"/>
      <c r="DE95" s="83"/>
      <c r="DF95" s="83"/>
      <c r="DG95" s="83"/>
      <c r="DH95" s="83"/>
      <c r="DI95" s="83"/>
      <c r="DJ95" s="83"/>
      <c r="DK95" s="83"/>
      <c r="DL95" s="83"/>
      <c r="DM95" s="83"/>
      <c r="DN95" s="83"/>
      <c r="DO95" s="83"/>
      <c r="DP95" s="83"/>
      <c r="DQ95" s="83"/>
      <c r="DR95" s="83"/>
      <c r="DS95" s="83"/>
      <c r="DT95" s="83"/>
      <c r="DU95" s="83"/>
      <c r="DV95" s="83"/>
      <c r="DW95" s="83"/>
      <c r="DX95" s="83"/>
      <c r="DY95" s="83"/>
      <c r="DZ95" s="83"/>
      <c r="EA95" s="83"/>
      <c r="EB95" s="83"/>
      <c r="EC95" s="83"/>
      <c r="ED95" s="83"/>
      <c r="EE95" s="83"/>
      <c r="EF95" s="83"/>
      <c r="EG95" s="83"/>
      <c r="EH95" s="83"/>
      <c r="EI95" s="83"/>
      <c r="EJ95" s="85"/>
      <c r="EK95" s="83"/>
      <c r="EL95" s="83"/>
      <c r="EM95" s="83"/>
      <c r="EN95" s="83"/>
    </row>
    <row r="96" spans="3:144" x14ac:dyDescent="0.2">
      <c r="C96" s="45"/>
      <c r="D96" s="45"/>
      <c r="BH96" s="83"/>
      <c r="BI96" s="83"/>
      <c r="BJ96" s="84"/>
      <c r="BK96" s="83"/>
      <c r="BL96" s="83"/>
      <c r="BM96" s="83"/>
      <c r="BN96" s="83"/>
      <c r="BO96" s="83"/>
      <c r="BP96" s="83"/>
      <c r="BQ96" s="83"/>
      <c r="BR96" s="83"/>
      <c r="BS96" s="83"/>
      <c r="BT96" s="85"/>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c r="DD96" s="83"/>
      <c r="DE96" s="83"/>
      <c r="DF96" s="83"/>
      <c r="DG96" s="83"/>
      <c r="DH96" s="83"/>
      <c r="DI96" s="83"/>
      <c r="DJ96" s="83"/>
      <c r="DK96" s="83"/>
      <c r="DL96" s="83"/>
      <c r="DM96" s="83"/>
      <c r="DN96" s="83"/>
      <c r="DO96" s="83"/>
      <c r="DP96" s="83"/>
      <c r="DQ96" s="83"/>
      <c r="DR96" s="83"/>
      <c r="DS96" s="83"/>
      <c r="DT96" s="83"/>
      <c r="DU96" s="83"/>
      <c r="DV96" s="83"/>
      <c r="DW96" s="83"/>
      <c r="DX96" s="83"/>
      <c r="DY96" s="83"/>
      <c r="DZ96" s="83"/>
      <c r="EA96" s="83"/>
      <c r="EB96" s="83"/>
      <c r="EC96" s="83"/>
      <c r="ED96" s="83"/>
      <c r="EE96" s="83"/>
      <c r="EF96" s="83"/>
      <c r="EG96" s="83"/>
      <c r="EH96" s="83"/>
      <c r="EI96" s="83"/>
      <c r="EJ96" s="85"/>
      <c r="EK96" s="83"/>
      <c r="EL96" s="83"/>
      <c r="EM96" s="83"/>
      <c r="EN96" s="83"/>
    </row>
    <row r="97" spans="3:144" x14ac:dyDescent="0.2">
      <c r="C97" s="45"/>
      <c r="D97" s="45"/>
      <c r="BH97" s="83"/>
      <c r="BI97" s="83"/>
      <c r="BJ97" s="84"/>
      <c r="BK97" s="83"/>
      <c r="BL97" s="83"/>
      <c r="BM97" s="83"/>
      <c r="BN97" s="83"/>
      <c r="BO97" s="83"/>
      <c r="BP97" s="83"/>
      <c r="BQ97" s="83"/>
      <c r="BR97" s="83"/>
      <c r="BS97" s="83"/>
      <c r="BT97" s="85"/>
      <c r="BU97" s="85"/>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c r="DD97" s="83"/>
      <c r="DE97" s="83"/>
      <c r="DF97" s="83"/>
      <c r="DG97" s="83"/>
      <c r="DH97" s="83"/>
      <c r="DI97" s="83"/>
      <c r="DJ97" s="83"/>
      <c r="DK97" s="83"/>
      <c r="DL97" s="83"/>
      <c r="DM97" s="83"/>
      <c r="DN97" s="83"/>
      <c r="DO97" s="83"/>
      <c r="DP97" s="83"/>
      <c r="DQ97" s="83"/>
      <c r="DR97" s="83"/>
      <c r="DS97" s="83"/>
      <c r="DT97" s="83"/>
      <c r="DU97" s="83"/>
      <c r="DV97" s="83"/>
      <c r="DW97" s="83"/>
      <c r="DX97" s="83"/>
      <c r="DY97" s="83"/>
      <c r="DZ97" s="83"/>
      <c r="EA97" s="83"/>
      <c r="EB97" s="83"/>
      <c r="EC97" s="83"/>
      <c r="ED97" s="83"/>
      <c r="EE97" s="83"/>
      <c r="EF97" s="83"/>
      <c r="EG97" s="83"/>
      <c r="EH97" s="83"/>
      <c r="EI97" s="83"/>
      <c r="EJ97" s="85"/>
      <c r="EK97" s="83"/>
      <c r="EL97" s="83"/>
      <c r="EM97" s="83"/>
      <c r="EN97" s="83"/>
    </row>
    <row r="98" spans="3:144" x14ac:dyDescent="0.2">
      <c r="C98" s="45"/>
      <c r="D98" s="45"/>
      <c r="BH98" s="83"/>
      <c r="BI98" s="83"/>
      <c r="BJ98" s="84"/>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c r="DD98" s="83"/>
      <c r="DE98" s="83"/>
      <c r="DF98" s="83"/>
      <c r="DG98" s="83"/>
      <c r="DH98" s="83"/>
      <c r="DI98" s="83"/>
      <c r="DJ98" s="83"/>
      <c r="DK98" s="83"/>
      <c r="DL98" s="83"/>
      <c r="DM98" s="83"/>
      <c r="DN98" s="83"/>
      <c r="DO98" s="83"/>
      <c r="DP98" s="83"/>
      <c r="DQ98" s="83"/>
      <c r="DR98" s="83"/>
      <c r="DS98" s="83"/>
      <c r="DT98" s="83"/>
      <c r="DU98" s="83"/>
      <c r="DV98" s="83"/>
      <c r="DW98" s="83"/>
      <c r="DX98" s="83"/>
      <c r="DY98" s="83"/>
      <c r="DZ98" s="83"/>
      <c r="EA98" s="83"/>
      <c r="EB98" s="83"/>
      <c r="EC98" s="83"/>
      <c r="ED98" s="83"/>
      <c r="EE98" s="83"/>
      <c r="EF98" s="83"/>
      <c r="EG98" s="83"/>
      <c r="EH98" s="83"/>
      <c r="EI98" s="83"/>
      <c r="EJ98" s="85"/>
      <c r="EK98" s="83"/>
      <c r="EL98" s="83"/>
      <c r="EM98" s="83"/>
      <c r="EN98" s="83"/>
    </row>
    <row r="99" spans="3:144" x14ac:dyDescent="0.2">
      <c r="C99" s="45"/>
      <c r="D99" s="45"/>
      <c r="BH99" s="83"/>
      <c r="BI99" s="83"/>
      <c r="BJ99" s="84"/>
      <c r="BK99" s="83"/>
      <c r="BL99" s="83"/>
      <c r="BM99" s="83"/>
      <c r="BN99" s="83"/>
      <c r="BO99" s="83"/>
      <c r="BP99" s="83"/>
      <c r="BQ99" s="83"/>
      <c r="BR99" s="83"/>
      <c r="BS99" s="83"/>
      <c r="BT99" s="85"/>
      <c r="BU99" s="85"/>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c r="DD99" s="83"/>
      <c r="DE99" s="83"/>
      <c r="DF99" s="83"/>
      <c r="DG99" s="83"/>
      <c r="DH99" s="83"/>
      <c r="DI99" s="83"/>
      <c r="DJ99" s="83"/>
      <c r="DK99" s="83"/>
      <c r="DL99" s="83"/>
      <c r="DM99" s="83"/>
      <c r="DN99" s="83"/>
      <c r="DO99" s="83"/>
      <c r="DP99" s="83"/>
      <c r="DQ99" s="83"/>
      <c r="DR99" s="83"/>
      <c r="DS99" s="83"/>
      <c r="DT99" s="83"/>
      <c r="DU99" s="83"/>
      <c r="DV99" s="83"/>
      <c r="DW99" s="83"/>
      <c r="DX99" s="83"/>
      <c r="DY99" s="83"/>
      <c r="DZ99" s="83"/>
      <c r="EA99" s="83"/>
      <c r="EB99" s="83"/>
      <c r="EC99" s="83"/>
      <c r="ED99" s="83"/>
      <c r="EE99" s="83"/>
      <c r="EF99" s="83"/>
      <c r="EG99" s="83"/>
      <c r="EH99" s="83"/>
      <c r="EI99" s="83"/>
      <c r="EJ99" s="85"/>
      <c r="EK99" s="83"/>
      <c r="EL99" s="83"/>
      <c r="EM99" s="83"/>
      <c r="EN99" s="83"/>
    </row>
    <row r="100" spans="3:144" x14ac:dyDescent="0.2">
      <c r="C100" s="45"/>
      <c r="D100" s="45"/>
      <c r="BH100" s="83"/>
      <c r="BI100" s="83"/>
      <c r="BJ100" s="84"/>
      <c r="BK100" s="83"/>
      <c r="BL100" s="83"/>
      <c r="BM100" s="83"/>
      <c r="BN100" s="83"/>
      <c r="BO100" s="83"/>
      <c r="BP100" s="83"/>
      <c r="BQ100" s="83"/>
      <c r="BR100" s="83"/>
      <c r="BS100" s="83"/>
      <c r="BT100" s="85"/>
      <c r="BU100" s="85"/>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c r="DD100" s="83"/>
      <c r="DE100" s="83"/>
      <c r="DF100" s="83"/>
      <c r="DG100" s="83"/>
      <c r="DH100" s="83"/>
      <c r="DI100" s="83"/>
      <c r="DJ100" s="83"/>
      <c r="DK100" s="83"/>
      <c r="DL100" s="83"/>
      <c r="DM100" s="83"/>
      <c r="DN100" s="83"/>
      <c r="DO100" s="83"/>
      <c r="DP100" s="83"/>
      <c r="DQ100" s="83"/>
      <c r="DR100" s="83"/>
      <c r="DS100" s="83"/>
      <c r="DT100" s="83"/>
      <c r="DU100" s="83"/>
      <c r="DV100" s="83"/>
      <c r="DW100" s="83"/>
      <c r="DX100" s="83"/>
      <c r="DY100" s="83"/>
      <c r="DZ100" s="83"/>
      <c r="EA100" s="83"/>
      <c r="EB100" s="83"/>
      <c r="EC100" s="83"/>
      <c r="ED100" s="83"/>
      <c r="EE100" s="83"/>
      <c r="EF100" s="83"/>
      <c r="EG100" s="83"/>
      <c r="EH100" s="83"/>
      <c r="EI100" s="83"/>
      <c r="EJ100" s="85"/>
      <c r="EK100" s="83"/>
      <c r="EL100" s="83"/>
      <c r="EM100" s="83"/>
      <c r="EN100" s="83"/>
    </row>
    <row r="101" spans="3:144" x14ac:dyDescent="0.2">
      <c r="C101" s="45"/>
      <c r="D101" s="45"/>
      <c r="BH101" s="83"/>
      <c r="BI101" s="83"/>
      <c r="BJ101" s="84"/>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c r="DD101" s="83"/>
      <c r="DE101" s="83"/>
      <c r="DF101" s="83"/>
      <c r="DG101" s="83"/>
      <c r="DH101" s="83"/>
      <c r="DI101" s="83"/>
      <c r="DJ101" s="83"/>
      <c r="DK101" s="83"/>
      <c r="DL101" s="83"/>
      <c r="DM101" s="83"/>
      <c r="DN101" s="83"/>
      <c r="DO101" s="83"/>
      <c r="DP101" s="83"/>
      <c r="DQ101" s="83"/>
      <c r="DR101" s="83"/>
      <c r="DS101" s="83"/>
      <c r="DT101" s="83"/>
      <c r="DU101" s="83"/>
      <c r="DV101" s="83"/>
      <c r="DW101" s="83"/>
      <c r="DX101" s="83"/>
      <c r="DY101" s="83"/>
      <c r="DZ101" s="83"/>
      <c r="EA101" s="83"/>
      <c r="EB101" s="83"/>
      <c r="EC101" s="83"/>
      <c r="ED101" s="83"/>
      <c r="EE101" s="83"/>
      <c r="EF101" s="83"/>
      <c r="EG101" s="83"/>
      <c r="EH101" s="83"/>
      <c r="EI101" s="83"/>
      <c r="EJ101" s="85"/>
      <c r="EK101" s="83"/>
      <c r="EL101" s="83"/>
      <c r="EM101" s="83"/>
      <c r="EN101" s="83"/>
    </row>
    <row r="102" spans="3:144" x14ac:dyDescent="0.2">
      <c r="C102" s="45"/>
      <c r="D102" s="45"/>
      <c r="BH102" s="83"/>
      <c r="BI102" s="83"/>
      <c r="BJ102" s="84"/>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c r="DD102" s="83"/>
      <c r="DE102" s="83"/>
      <c r="DF102" s="83"/>
      <c r="DG102" s="83"/>
      <c r="DH102" s="83"/>
      <c r="DI102" s="83"/>
      <c r="DJ102" s="83"/>
      <c r="DK102" s="83"/>
      <c r="DL102" s="83"/>
      <c r="DM102" s="83"/>
      <c r="DN102" s="83"/>
      <c r="DO102" s="83"/>
      <c r="DP102" s="83"/>
      <c r="DQ102" s="83"/>
      <c r="DR102" s="83"/>
      <c r="DS102" s="83"/>
      <c r="DT102" s="83"/>
      <c r="DU102" s="83"/>
      <c r="DV102" s="83"/>
      <c r="DW102" s="83"/>
      <c r="DX102" s="83"/>
      <c r="DY102" s="83"/>
      <c r="DZ102" s="83"/>
      <c r="EA102" s="83"/>
      <c r="EB102" s="83"/>
      <c r="EC102" s="83"/>
      <c r="ED102" s="83"/>
      <c r="EE102" s="83"/>
      <c r="EF102" s="83"/>
      <c r="EG102" s="83"/>
      <c r="EH102" s="83"/>
      <c r="EI102" s="83"/>
      <c r="EJ102" s="85"/>
      <c r="EK102" s="83"/>
      <c r="EL102" s="83"/>
      <c r="EM102" s="83"/>
      <c r="EN102" s="83"/>
    </row>
    <row r="103" spans="3:144" x14ac:dyDescent="0.2">
      <c r="C103" s="45"/>
      <c r="D103" s="45"/>
      <c r="BH103" s="83"/>
      <c r="BI103" s="83"/>
      <c r="BJ103" s="84"/>
      <c r="BK103" s="83"/>
      <c r="BL103" s="83"/>
      <c r="BM103" s="83"/>
      <c r="BN103" s="83"/>
      <c r="BO103" s="83"/>
      <c r="BP103" s="83"/>
      <c r="BQ103" s="83"/>
      <c r="BR103" s="83"/>
      <c r="BS103" s="83"/>
      <c r="BT103" s="85"/>
      <c r="BU103" s="85"/>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c r="DD103" s="83"/>
      <c r="DE103" s="83"/>
      <c r="DF103" s="83"/>
      <c r="DG103" s="83"/>
      <c r="DH103" s="83"/>
      <c r="DI103" s="83"/>
      <c r="DJ103" s="83"/>
      <c r="DK103" s="83"/>
      <c r="DL103" s="83"/>
      <c r="DM103" s="83"/>
      <c r="DN103" s="83"/>
      <c r="DO103" s="83"/>
      <c r="DP103" s="83"/>
      <c r="DQ103" s="83"/>
      <c r="DR103" s="83"/>
      <c r="DS103" s="83"/>
      <c r="DT103" s="83"/>
      <c r="DU103" s="83"/>
      <c r="DV103" s="83"/>
      <c r="DW103" s="83"/>
      <c r="DX103" s="83"/>
      <c r="DY103" s="83"/>
      <c r="DZ103" s="83"/>
      <c r="EA103" s="83"/>
      <c r="EB103" s="83"/>
      <c r="EC103" s="83"/>
      <c r="ED103" s="83"/>
      <c r="EE103" s="83"/>
      <c r="EF103" s="83"/>
      <c r="EG103" s="83"/>
      <c r="EH103" s="83"/>
      <c r="EI103" s="83"/>
      <c r="EJ103" s="85"/>
      <c r="EK103" s="83"/>
      <c r="EL103" s="83"/>
      <c r="EM103" s="83"/>
      <c r="EN103" s="83"/>
    </row>
    <row r="104" spans="3:144" x14ac:dyDescent="0.2">
      <c r="C104" s="45"/>
      <c r="D104" s="45"/>
      <c r="BH104" s="83"/>
      <c r="BI104" s="83"/>
      <c r="BJ104" s="84"/>
      <c r="BK104" s="83"/>
      <c r="BL104" s="83"/>
      <c r="BM104" s="83"/>
      <c r="BN104" s="83"/>
      <c r="BO104" s="83"/>
      <c r="BP104" s="83"/>
      <c r="BQ104" s="83"/>
      <c r="BR104" s="83"/>
      <c r="BS104" s="83"/>
      <c r="BT104" s="85"/>
      <c r="BU104" s="85"/>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c r="DD104" s="83"/>
      <c r="DE104" s="83"/>
      <c r="DF104" s="83"/>
      <c r="DG104" s="83"/>
      <c r="DH104" s="83"/>
      <c r="DI104" s="83"/>
      <c r="DJ104" s="83"/>
      <c r="DK104" s="83"/>
      <c r="DL104" s="83"/>
      <c r="DM104" s="83"/>
      <c r="DN104" s="83"/>
      <c r="DO104" s="83"/>
      <c r="DP104" s="83"/>
      <c r="DQ104" s="83"/>
      <c r="DR104" s="83"/>
      <c r="DS104" s="83"/>
      <c r="DT104" s="83"/>
      <c r="DU104" s="83"/>
      <c r="DV104" s="83"/>
      <c r="DW104" s="83"/>
      <c r="DX104" s="83"/>
      <c r="DY104" s="83"/>
      <c r="DZ104" s="83"/>
      <c r="EA104" s="83"/>
      <c r="EB104" s="83"/>
      <c r="EC104" s="83"/>
      <c r="ED104" s="83"/>
      <c r="EE104" s="83"/>
      <c r="EF104" s="83"/>
      <c r="EG104" s="83"/>
      <c r="EH104" s="83"/>
      <c r="EI104" s="83"/>
      <c r="EJ104" s="85"/>
      <c r="EK104" s="83"/>
      <c r="EL104" s="83"/>
      <c r="EM104" s="83"/>
      <c r="EN104" s="83"/>
    </row>
    <row r="105" spans="3:144" x14ac:dyDescent="0.2">
      <c r="C105" s="45"/>
      <c r="D105" s="45"/>
      <c r="BH105" s="83"/>
      <c r="BI105" s="83"/>
      <c r="BJ105" s="84"/>
      <c r="BK105" s="83"/>
      <c r="BL105" s="83"/>
      <c r="BM105" s="83"/>
      <c r="BN105" s="83"/>
      <c r="BO105" s="83"/>
      <c r="BP105" s="83"/>
      <c r="BQ105" s="83"/>
      <c r="BR105" s="83"/>
      <c r="BS105" s="83"/>
      <c r="BT105" s="85"/>
      <c r="BU105" s="85"/>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c r="DD105" s="83"/>
      <c r="DE105" s="83"/>
      <c r="DF105" s="83"/>
      <c r="DG105" s="83"/>
      <c r="DH105" s="83"/>
      <c r="DI105" s="83"/>
      <c r="DJ105" s="83"/>
      <c r="DK105" s="83"/>
      <c r="DL105" s="83"/>
      <c r="DM105" s="83"/>
      <c r="DN105" s="83"/>
      <c r="DO105" s="83"/>
      <c r="DP105" s="83"/>
      <c r="DQ105" s="83"/>
      <c r="DR105" s="83"/>
      <c r="DS105" s="83"/>
      <c r="DT105" s="83"/>
      <c r="DU105" s="83"/>
      <c r="DV105" s="83"/>
      <c r="DW105" s="83"/>
      <c r="DX105" s="83"/>
      <c r="DY105" s="83"/>
      <c r="DZ105" s="83"/>
      <c r="EA105" s="83"/>
      <c r="EB105" s="83"/>
      <c r="EC105" s="83"/>
      <c r="ED105" s="83"/>
      <c r="EE105" s="83"/>
      <c r="EF105" s="83"/>
      <c r="EG105" s="83"/>
      <c r="EH105" s="83"/>
      <c r="EI105" s="83"/>
      <c r="EJ105" s="85"/>
      <c r="EK105" s="83"/>
      <c r="EL105" s="83"/>
      <c r="EM105" s="83"/>
      <c r="EN105" s="83"/>
    </row>
    <row r="106" spans="3:144" x14ac:dyDescent="0.2">
      <c r="C106" s="45"/>
      <c r="D106" s="45"/>
      <c r="BH106" s="83"/>
      <c r="BI106" s="83"/>
      <c r="BJ106" s="84"/>
      <c r="BK106" s="83"/>
      <c r="BL106" s="83"/>
      <c r="BM106" s="83"/>
      <c r="BN106" s="83"/>
      <c r="BO106" s="83"/>
      <c r="BP106" s="83"/>
      <c r="BQ106" s="83"/>
      <c r="BR106" s="83"/>
      <c r="BS106" s="83"/>
      <c r="BT106" s="85"/>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c r="DD106" s="83"/>
      <c r="DE106" s="83"/>
      <c r="DF106" s="83"/>
      <c r="DG106" s="83"/>
      <c r="DH106" s="83"/>
      <c r="DI106" s="83"/>
      <c r="DJ106" s="83"/>
      <c r="DK106" s="83"/>
      <c r="DL106" s="83"/>
      <c r="DM106" s="83"/>
      <c r="DN106" s="83"/>
      <c r="DO106" s="83"/>
      <c r="DP106" s="83"/>
      <c r="DQ106" s="83"/>
      <c r="DR106" s="83"/>
      <c r="DS106" s="83"/>
      <c r="DT106" s="83"/>
      <c r="DU106" s="83"/>
      <c r="DV106" s="83"/>
      <c r="DW106" s="83"/>
      <c r="DX106" s="83"/>
      <c r="DY106" s="83"/>
      <c r="DZ106" s="83"/>
      <c r="EA106" s="83"/>
      <c r="EB106" s="83"/>
      <c r="EC106" s="83"/>
      <c r="ED106" s="83"/>
      <c r="EE106" s="83"/>
      <c r="EF106" s="83"/>
      <c r="EG106" s="83"/>
      <c r="EH106" s="83"/>
      <c r="EI106" s="83"/>
      <c r="EJ106" s="85"/>
      <c r="EK106" s="83"/>
      <c r="EL106" s="83"/>
      <c r="EM106" s="83"/>
      <c r="EN106" s="83"/>
    </row>
    <row r="107" spans="3:144" x14ac:dyDescent="0.2">
      <c r="C107" s="45"/>
      <c r="D107" s="45"/>
      <c r="BH107" s="83"/>
      <c r="BI107" s="83"/>
      <c r="BJ107" s="84"/>
      <c r="BK107" s="83"/>
      <c r="BL107" s="83"/>
      <c r="BM107" s="83"/>
      <c r="BN107" s="83"/>
      <c r="BO107" s="83"/>
      <c r="BP107" s="83"/>
      <c r="BQ107" s="83"/>
      <c r="BR107" s="83"/>
      <c r="BS107" s="83"/>
      <c r="BT107" s="85"/>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c r="DD107" s="83"/>
      <c r="DE107" s="83"/>
      <c r="DF107" s="83"/>
      <c r="DG107" s="83"/>
      <c r="DH107" s="83"/>
      <c r="DI107" s="83"/>
      <c r="DJ107" s="83"/>
      <c r="DK107" s="83"/>
      <c r="DL107" s="83"/>
      <c r="DM107" s="83"/>
      <c r="DN107" s="83"/>
      <c r="DO107" s="83"/>
      <c r="DP107" s="83"/>
      <c r="DQ107" s="83"/>
      <c r="DR107" s="83"/>
      <c r="DS107" s="83"/>
      <c r="DT107" s="83"/>
      <c r="DU107" s="83"/>
      <c r="DV107" s="83"/>
      <c r="DW107" s="83"/>
      <c r="DX107" s="83"/>
      <c r="DY107" s="83"/>
      <c r="DZ107" s="83"/>
      <c r="EA107" s="83"/>
      <c r="EB107" s="83"/>
      <c r="EC107" s="83"/>
      <c r="ED107" s="83"/>
      <c r="EE107" s="83"/>
      <c r="EF107" s="83"/>
      <c r="EG107" s="83"/>
      <c r="EH107" s="83"/>
      <c r="EI107" s="83"/>
      <c r="EJ107" s="85"/>
      <c r="EK107" s="83"/>
      <c r="EL107" s="83"/>
      <c r="EM107" s="83"/>
      <c r="EN107" s="83"/>
    </row>
    <row r="108" spans="3:144" x14ac:dyDescent="0.2">
      <c r="C108" s="45"/>
      <c r="D108" s="45"/>
      <c r="BH108" s="83"/>
      <c r="BI108" s="83"/>
      <c r="BJ108" s="84"/>
      <c r="BK108" s="83"/>
      <c r="BL108" s="83"/>
      <c r="BM108" s="83"/>
      <c r="BN108" s="83"/>
      <c r="BO108" s="83"/>
      <c r="BP108" s="83"/>
      <c r="BQ108" s="83"/>
      <c r="BR108" s="83"/>
      <c r="BS108" s="83"/>
      <c r="BT108" s="85"/>
      <c r="BU108" s="85"/>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c r="DD108" s="83"/>
      <c r="DE108" s="83"/>
      <c r="DF108" s="83"/>
      <c r="DG108" s="83"/>
      <c r="DH108" s="83"/>
      <c r="DI108" s="83"/>
      <c r="DJ108" s="83"/>
      <c r="DK108" s="83"/>
      <c r="DL108" s="83"/>
      <c r="DM108" s="83"/>
      <c r="DN108" s="83"/>
      <c r="DO108" s="83"/>
      <c r="DP108" s="83"/>
      <c r="DQ108" s="83"/>
      <c r="DR108" s="83"/>
      <c r="DS108" s="83"/>
      <c r="DT108" s="83"/>
      <c r="DU108" s="83"/>
      <c r="DV108" s="83"/>
      <c r="DW108" s="83"/>
      <c r="DX108" s="83"/>
      <c r="DY108" s="83"/>
      <c r="DZ108" s="83"/>
      <c r="EA108" s="83"/>
      <c r="EB108" s="83"/>
      <c r="EC108" s="83"/>
      <c r="ED108" s="83"/>
      <c r="EE108" s="83"/>
      <c r="EF108" s="83"/>
      <c r="EG108" s="83"/>
      <c r="EH108" s="83"/>
      <c r="EI108" s="83"/>
      <c r="EJ108" s="85"/>
      <c r="EK108" s="83"/>
      <c r="EL108" s="83"/>
      <c r="EM108" s="83"/>
      <c r="EN108" s="83"/>
    </row>
    <row r="109" spans="3:144" x14ac:dyDescent="0.2">
      <c r="C109" s="45"/>
      <c r="D109" s="45"/>
      <c r="BH109" s="83"/>
      <c r="BI109" s="83"/>
      <c r="BJ109" s="84"/>
      <c r="BK109" s="83"/>
      <c r="BL109" s="83"/>
      <c r="BM109" s="83"/>
      <c r="BN109" s="83"/>
      <c r="BO109" s="83"/>
      <c r="BP109" s="83"/>
      <c r="BQ109" s="83"/>
      <c r="BR109" s="83"/>
      <c r="BS109" s="83"/>
      <c r="BT109" s="85"/>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c r="DD109" s="83"/>
      <c r="DE109" s="83"/>
      <c r="DF109" s="83"/>
      <c r="DG109" s="83"/>
      <c r="DH109" s="83"/>
      <c r="DI109" s="83"/>
      <c r="DJ109" s="83"/>
      <c r="DK109" s="83"/>
      <c r="DL109" s="83"/>
      <c r="DM109" s="83"/>
      <c r="DN109" s="83"/>
      <c r="DO109" s="83"/>
      <c r="DP109" s="83"/>
      <c r="DQ109" s="83"/>
      <c r="DR109" s="83"/>
      <c r="DS109" s="83"/>
      <c r="DT109" s="83"/>
      <c r="DU109" s="83"/>
      <c r="DV109" s="83"/>
      <c r="DW109" s="83"/>
      <c r="DX109" s="83"/>
      <c r="DY109" s="83"/>
      <c r="DZ109" s="83"/>
      <c r="EA109" s="83"/>
      <c r="EB109" s="83"/>
      <c r="EC109" s="83"/>
      <c r="ED109" s="83"/>
      <c r="EE109" s="83"/>
      <c r="EF109" s="83"/>
      <c r="EG109" s="83"/>
      <c r="EH109" s="83"/>
      <c r="EI109" s="83"/>
      <c r="EJ109" s="85"/>
      <c r="EK109" s="83"/>
      <c r="EL109" s="83"/>
      <c r="EM109" s="83"/>
      <c r="EN109" s="83"/>
    </row>
    <row r="110" spans="3:144" x14ac:dyDescent="0.2">
      <c r="C110" s="45"/>
      <c r="D110" s="45"/>
      <c r="BH110" s="83"/>
      <c r="BI110" s="83"/>
      <c r="BJ110" s="84"/>
      <c r="BK110" s="83"/>
      <c r="BL110" s="83"/>
      <c r="BM110" s="83"/>
      <c r="BN110" s="83"/>
      <c r="BO110" s="83"/>
      <c r="BP110" s="83"/>
      <c r="BQ110" s="83"/>
      <c r="BR110" s="83"/>
      <c r="BS110" s="83"/>
      <c r="BT110" s="85"/>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c r="DD110" s="83"/>
      <c r="DE110" s="83"/>
      <c r="DF110" s="83"/>
      <c r="DG110" s="83"/>
      <c r="DH110" s="83"/>
      <c r="DI110" s="83"/>
      <c r="DJ110" s="83"/>
      <c r="DK110" s="83"/>
      <c r="DL110" s="83"/>
      <c r="DM110" s="83"/>
      <c r="DN110" s="83"/>
      <c r="DO110" s="83"/>
      <c r="DP110" s="83"/>
      <c r="DQ110" s="83"/>
      <c r="DR110" s="83"/>
      <c r="DS110" s="83"/>
      <c r="DT110" s="83"/>
      <c r="DU110" s="83"/>
      <c r="DV110" s="83"/>
      <c r="DW110" s="83"/>
      <c r="DX110" s="83"/>
      <c r="DY110" s="83"/>
      <c r="DZ110" s="83"/>
      <c r="EA110" s="83"/>
      <c r="EB110" s="83"/>
      <c r="EC110" s="83"/>
      <c r="ED110" s="83"/>
      <c r="EE110" s="83"/>
      <c r="EF110" s="83"/>
      <c r="EG110" s="83"/>
      <c r="EH110" s="83"/>
      <c r="EI110" s="83"/>
      <c r="EJ110" s="85"/>
      <c r="EK110" s="83"/>
      <c r="EL110" s="83"/>
      <c r="EM110" s="83"/>
      <c r="EN110" s="83"/>
    </row>
    <row r="111" spans="3:144" x14ac:dyDescent="0.2">
      <c r="C111" s="45"/>
      <c r="D111" s="45"/>
      <c r="BH111" s="83"/>
      <c r="BI111" s="83"/>
      <c r="BJ111" s="84"/>
      <c r="BK111" s="83"/>
      <c r="BL111" s="83"/>
      <c r="BM111" s="83"/>
      <c r="BN111" s="83"/>
      <c r="BO111" s="83"/>
      <c r="BP111" s="83"/>
      <c r="BQ111" s="83"/>
      <c r="BR111" s="83"/>
      <c r="BS111" s="83"/>
      <c r="BT111" s="85"/>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c r="DD111" s="83"/>
      <c r="DE111" s="83"/>
      <c r="DF111" s="83"/>
      <c r="DG111" s="83"/>
      <c r="DH111" s="83"/>
      <c r="DI111" s="83"/>
      <c r="DJ111" s="83"/>
      <c r="DK111" s="83"/>
      <c r="DL111" s="83"/>
      <c r="DM111" s="83"/>
      <c r="DN111" s="83"/>
      <c r="DO111" s="83"/>
      <c r="DP111" s="83"/>
      <c r="DQ111" s="83"/>
      <c r="DR111" s="83"/>
      <c r="DS111" s="83"/>
      <c r="DT111" s="83"/>
      <c r="DU111" s="83"/>
      <c r="DV111" s="83"/>
      <c r="DW111" s="83"/>
      <c r="DX111" s="83"/>
      <c r="DY111" s="83"/>
      <c r="DZ111" s="83"/>
      <c r="EA111" s="83"/>
      <c r="EB111" s="83"/>
      <c r="EC111" s="83"/>
      <c r="ED111" s="83"/>
      <c r="EE111" s="83"/>
      <c r="EF111" s="83"/>
      <c r="EG111" s="83"/>
      <c r="EH111" s="83"/>
      <c r="EI111" s="83"/>
      <c r="EJ111" s="85"/>
      <c r="EK111" s="83"/>
      <c r="EL111" s="83"/>
      <c r="EM111" s="83"/>
      <c r="EN111" s="83"/>
    </row>
    <row r="112" spans="3:144" x14ac:dyDescent="0.2">
      <c r="C112" s="45"/>
      <c r="D112" s="45"/>
      <c r="BH112" s="83"/>
      <c r="BI112" s="83"/>
      <c r="BJ112" s="84"/>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c r="DD112" s="83"/>
      <c r="DE112" s="83"/>
      <c r="DF112" s="83"/>
      <c r="DG112" s="83"/>
      <c r="DH112" s="83"/>
      <c r="DI112" s="83"/>
      <c r="DJ112" s="83"/>
      <c r="DK112" s="83"/>
      <c r="DL112" s="83"/>
      <c r="DM112" s="83"/>
      <c r="DN112" s="83"/>
      <c r="DO112" s="83"/>
      <c r="DP112" s="83"/>
      <c r="DQ112" s="83"/>
      <c r="DR112" s="83"/>
      <c r="DS112" s="83"/>
      <c r="DT112" s="83"/>
      <c r="DU112" s="83"/>
      <c r="DV112" s="83"/>
      <c r="DW112" s="83"/>
      <c r="DX112" s="83"/>
      <c r="DY112" s="83"/>
      <c r="DZ112" s="83"/>
      <c r="EA112" s="83"/>
      <c r="EB112" s="83"/>
      <c r="EC112" s="83"/>
      <c r="ED112" s="83"/>
      <c r="EE112" s="83"/>
      <c r="EF112" s="83"/>
      <c r="EG112" s="83"/>
      <c r="EH112" s="83"/>
      <c r="EI112" s="83"/>
      <c r="EJ112" s="85"/>
      <c r="EK112" s="83"/>
      <c r="EL112" s="83"/>
      <c r="EM112" s="83"/>
      <c r="EN112" s="83"/>
    </row>
    <row r="113" spans="3:144" x14ac:dyDescent="0.2">
      <c r="C113" s="45"/>
      <c r="D113" s="45"/>
      <c r="BH113" s="83"/>
      <c r="BI113" s="83"/>
      <c r="BJ113" s="84"/>
      <c r="BK113" s="83"/>
      <c r="BL113" s="83"/>
      <c r="BM113" s="83"/>
      <c r="BN113" s="83"/>
      <c r="BO113" s="83"/>
      <c r="BP113" s="83"/>
      <c r="BQ113" s="83"/>
      <c r="BR113" s="83"/>
      <c r="BS113" s="83"/>
      <c r="BT113" s="85"/>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c r="DD113" s="83"/>
      <c r="DE113" s="83"/>
      <c r="DF113" s="83"/>
      <c r="DG113" s="83"/>
      <c r="DH113" s="83"/>
      <c r="DI113" s="83"/>
      <c r="DJ113" s="83"/>
      <c r="DK113" s="83"/>
      <c r="DL113" s="83"/>
      <c r="DM113" s="83"/>
      <c r="DN113" s="83"/>
      <c r="DO113" s="83"/>
      <c r="DP113" s="83"/>
      <c r="DQ113" s="83"/>
      <c r="DR113" s="83"/>
      <c r="DS113" s="83"/>
      <c r="DT113" s="83"/>
      <c r="DU113" s="83"/>
      <c r="DV113" s="83"/>
      <c r="DW113" s="83"/>
      <c r="DX113" s="83"/>
      <c r="DY113" s="83"/>
      <c r="DZ113" s="83"/>
      <c r="EA113" s="83"/>
      <c r="EB113" s="83"/>
      <c r="EC113" s="83"/>
      <c r="ED113" s="83"/>
      <c r="EE113" s="83"/>
      <c r="EF113" s="83"/>
      <c r="EG113" s="83"/>
      <c r="EH113" s="83"/>
      <c r="EI113" s="83"/>
      <c r="EJ113" s="85"/>
      <c r="EK113" s="83"/>
      <c r="EL113" s="83"/>
      <c r="EM113" s="83"/>
      <c r="EN113" s="83"/>
    </row>
    <row r="114" spans="3:144" x14ac:dyDescent="0.2">
      <c r="C114" s="45"/>
      <c r="D114" s="45"/>
      <c r="BH114" s="83"/>
      <c r="BI114" s="83"/>
      <c r="BJ114" s="84"/>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c r="DD114" s="83"/>
      <c r="DE114" s="83"/>
      <c r="DF114" s="83"/>
      <c r="DG114" s="83"/>
      <c r="DH114" s="83"/>
      <c r="DI114" s="83"/>
      <c r="DJ114" s="83"/>
      <c r="DK114" s="83"/>
      <c r="DL114" s="83"/>
      <c r="DM114" s="83"/>
      <c r="DN114" s="83"/>
      <c r="DO114" s="83"/>
      <c r="DP114" s="83"/>
      <c r="DQ114" s="83"/>
      <c r="DR114" s="83"/>
      <c r="DS114" s="83"/>
      <c r="DT114" s="83"/>
      <c r="DU114" s="83"/>
      <c r="DV114" s="83"/>
      <c r="DW114" s="83"/>
      <c r="DX114" s="83"/>
      <c r="DY114" s="83"/>
      <c r="DZ114" s="83"/>
      <c r="EA114" s="83"/>
      <c r="EB114" s="83"/>
      <c r="EC114" s="83"/>
      <c r="ED114" s="83"/>
      <c r="EE114" s="83"/>
      <c r="EF114" s="83"/>
      <c r="EG114" s="83"/>
      <c r="EH114" s="83"/>
      <c r="EI114" s="83"/>
      <c r="EJ114" s="85"/>
      <c r="EK114" s="83"/>
      <c r="EL114" s="83"/>
      <c r="EM114" s="83"/>
      <c r="EN114" s="83"/>
    </row>
    <row r="199" spans="1:145" x14ac:dyDescent="0.2">
      <c r="A199">
        <v>1</v>
      </c>
      <c r="B199">
        <v>2</v>
      </c>
      <c r="C199">
        <v>3</v>
      </c>
      <c r="D199">
        <v>4</v>
      </c>
      <c r="E199">
        <v>5</v>
      </c>
      <c r="F199">
        <v>6</v>
      </c>
      <c r="G199">
        <v>7</v>
      </c>
      <c r="H199">
        <v>8</v>
      </c>
      <c r="I199">
        <v>9</v>
      </c>
      <c r="J199">
        <v>10</v>
      </c>
      <c r="K199">
        <v>11</v>
      </c>
      <c r="L199">
        <v>12</v>
      </c>
      <c r="M199" t="s">
        <v>147</v>
      </c>
      <c r="N199">
        <v>14</v>
      </c>
      <c r="O199" t="s">
        <v>148</v>
      </c>
      <c r="P199">
        <v>16</v>
      </c>
      <c r="Q199" t="s">
        <v>149</v>
      </c>
      <c r="R199">
        <v>18</v>
      </c>
      <c r="S199">
        <v>19</v>
      </c>
      <c r="T199">
        <v>6</v>
      </c>
      <c r="U199">
        <v>20</v>
      </c>
      <c r="V199" t="s">
        <v>150</v>
      </c>
      <c r="W199">
        <v>21</v>
      </c>
      <c r="X199">
        <v>22</v>
      </c>
      <c r="Y199">
        <v>23</v>
      </c>
      <c r="Z199">
        <v>24</v>
      </c>
      <c r="AA199">
        <v>25</v>
      </c>
      <c r="AB199">
        <v>26</v>
      </c>
      <c r="AC199">
        <v>27</v>
      </c>
      <c r="AD199">
        <v>28</v>
      </c>
      <c r="AE199" t="s">
        <v>151</v>
      </c>
      <c r="AF199">
        <v>30</v>
      </c>
      <c r="AG199">
        <v>31</v>
      </c>
      <c r="AH199">
        <v>32</v>
      </c>
      <c r="AI199" t="s">
        <v>152</v>
      </c>
      <c r="AJ199">
        <v>34</v>
      </c>
      <c r="AK199">
        <v>35</v>
      </c>
      <c r="AL199">
        <v>36</v>
      </c>
      <c r="AM199">
        <v>37</v>
      </c>
      <c r="AN199">
        <v>38</v>
      </c>
      <c r="AO199">
        <v>39</v>
      </c>
      <c r="AP199">
        <v>40</v>
      </c>
      <c r="AQ199">
        <v>41</v>
      </c>
      <c r="AR199">
        <v>42</v>
      </c>
      <c r="AS199">
        <v>43</v>
      </c>
      <c r="AT199" t="s">
        <v>153</v>
      </c>
      <c r="AU199" s="45">
        <v>44</v>
      </c>
      <c r="AV199">
        <v>45</v>
      </c>
      <c r="AW199" t="s">
        <v>154</v>
      </c>
      <c r="AX199">
        <v>46</v>
      </c>
      <c r="AY199">
        <v>47</v>
      </c>
      <c r="BH199" s="83"/>
      <c r="BI199" s="83"/>
      <c r="BJ199" s="84"/>
      <c r="BK199" s="83"/>
      <c r="BL199" s="83"/>
      <c r="BM199" s="83"/>
      <c r="BN199" s="83"/>
      <c r="BO199" s="83"/>
      <c r="BP199" s="83"/>
      <c r="BQ199" s="83"/>
      <c r="BR199" s="83"/>
      <c r="BS199" s="83"/>
      <c r="BT199" s="85"/>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c r="DD199" s="83"/>
      <c r="DE199" s="83"/>
      <c r="DF199" s="83"/>
      <c r="DG199" s="83"/>
      <c r="DH199" s="83"/>
      <c r="DI199" s="83"/>
      <c r="DJ199" s="83"/>
      <c r="DK199" s="83"/>
      <c r="DL199" s="83"/>
      <c r="DM199" s="83"/>
      <c r="DN199" s="83"/>
      <c r="DO199" s="83"/>
      <c r="DP199" s="83"/>
      <c r="DQ199" s="83"/>
      <c r="DR199" s="83"/>
      <c r="DS199" s="83"/>
      <c r="DT199" s="83"/>
      <c r="DU199" s="83"/>
      <c r="DV199" s="83"/>
      <c r="DW199" s="83"/>
      <c r="DX199" s="83"/>
      <c r="DY199" s="83"/>
      <c r="DZ199" s="83"/>
      <c r="EA199" s="83"/>
      <c r="EB199" s="83"/>
      <c r="EC199" s="83"/>
      <c r="ED199" s="83"/>
      <c r="EE199" s="83"/>
      <c r="EF199" s="83"/>
      <c r="EG199" s="83"/>
      <c r="EH199" s="83"/>
      <c r="EI199" s="83"/>
      <c r="EJ199" s="83"/>
      <c r="EK199" s="85"/>
      <c r="EL199" s="83"/>
      <c r="EM199" s="83"/>
      <c r="EN199" s="83"/>
      <c r="EO199" s="83"/>
    </row>
  </sheetData>
  <autoFilter ref="A1:BC34" xr:uid="{65FE7507-7552-4C9F-AFFB-A37357F235F4}"/>
  <conditionalFormatting sqref="BH2:BH23">
    <cfRule type="duplicateValues" dxfId="0" priority="1"/>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BCDB1-3271-4E6B-A0EC-6A9C6A1E464C}">
  <sheetPr codeName="Sheet2"/>
  <dimension ref="A1:BT57"/>
  <sheetViews>
    <sheetView tabSelected="1" zoomScaleNormal="100" workbookViewId="0">
      <pane ySplit="1" topLeftCell="A2" activePane="bottomLeft" state="frozen"/>
      <selection pane="bottomLeft" activeCell="B23" sqref="B23"/>
    </sheetView>
  </sheetViews>
  <sheetFormatPr defaultRowHeight="12.75" x14ac:dyDescent="0.2"/>
  <cols>
    <col min="1" max="1" width="77.1640625" customWidth="1"/>
    <col min="2" max="2" width="19.6640625" customWidth="1"/>
    <col min="3" max="3" width="10.6640625" hidden="1" customWidth="1"/>
    <col min="4" max="4" width="10.1640625" hidden="1" customWidth="1"/>
    <col min="5" max="6" width="8.83203125" hidden="1" customWidth="1"/>
    <col min="7" max="7" width="15.33203125" hidden="1" customWidth="1"/>
    <col min="8" max="8" width="35.1640625" hidden="1" customWidth="1"/>
    <col min="9" max="12" width="8.83203125" hidden="1" customWidth="1"/>
    <col min="13" max="13" width="9.33203125" customWidth="1"/>
    <col min="14" max="14" width="17.6640625" bestFit="1" customWidth="1"/>
    <col min="15" max="15" width="13.5" bestFit="1" customWidth="1"/>
    <col min="18" max="18" width="12.5" hidden="1" customWidth="1"/>
    <col min="19" max="19" width="18.83203125" hidden="1" customWidth="1"/>
    <col min="20" max="20" width="21" hidden="1" customWidth="1"/>
    <col min="21" max="21" width="22.33203125" hidden="1" customWidth="1"/>
    <col min="22" max="22" width="27.1640625" hidden="1" customWidth="1"/>
    <col min="23" max="23" width="18.83203125" hidden="1" customWidth="1"/>
    <col min="24" max="24" width="14.33203125" hidden="1" customWidth="1"/>
    <col min="25" max="25" width="12" hidden="1" customWidth="1"/>
    <col min="26" max="26" width="20" hidden="1" customWidth="1"/>
    <col min="27" max="27" width="8.1640625" hidden="1" customWidth="1"/>
    <col min="28" max="28" width="0" hidden="1" customWidth="1"/>
    <col min="29" max="29" width="8" hidden="1" customWidth="1"/>
    <col min="30" max="30" width="15.83203125" hidden="1" customWidth="1"/>
    <col min="31" max="31" width="8.5" hidden="1" customWidth="1"/>
    <col min="32" max="32" width="8.83203125" hidden="1" customWidth="1"/>
    <col min="33" max="33" width="9.1640625" hidden="1" customWidth="1"/>
    <col min="34" max="34" width="8.5" hidden="1" customWidth="1"/>
    <col min="35" max="35" width="8.6640625" hidden="1" customWidth="1"/>
    <col min="36" max="36" width="8.33203125" hidden="1" customWidth="1"/>
    <col min="37" max="37" width="0" hidden="1" customWidth="1"/>
    <col min="38" max="38" width="8.33203125" hidden="1" customWidth="1"/>
    <col min="39" max="39" width="0" hidden="1" customWidth="1"/>
    <col min="40" max="40" width="8.1640625" hidden="1" customWidth="1"/>
    <col min="41" max="41" width="12.6640625" hidden="1" customWidth="1"/>
    <col min="42" max="43" width="9.1640625" hidden="1" customWidth="1"/>
    <col min="44" max="45" width="8.1640625" hidden="1" customWidth="1"/>
    <col min="46" max="46" width="0" hidden="1" customWidth="1"/>
    <col min="47" max="47" width="9.1640625" hidden="1" customWidth="1"/>
    <col min="48" max="48" width="17.1640625" hidden="1" customWidth="1"/>
    <col min="49" max="53" width="9.1640625" hidden="1" customWidth="1"/>
    <col min="54" max="54" width="8.1640625" hidden="1" customWidth="1"/>
    <col min="55" max="55" width="0" hidden="1" customWidth="1"/>
    <col min="56" max="56" width="7.83203125" hidden="1" customWidth="1"/>
    <col min="57" max="57" width="0" hidden="1" customWidth="1"/>
    <col min="58" max="58" width="8.1640625" hidden="1" customWidth="1"/>
    <col min="59" max="59" width="12.6640625" hidden="1" customWidth="1"/>
    <col min="60" max="61" width="9.1640625" hidden="1" customWidth="1"/>
    <col min="62" max="62" width="8.1640625" hidden="1" customWidth="1"/>
    <col min="63" max="63" width="20" hidden="1" customWidth="1"/>
    <col min="64" max="64" width="10.83203125" hidden="1" customWidth="1"/>
    <col min="65" max="66" width="0" hidden="1" customWidth="1"/>
    <col min="67" max="67" width="13" hidden="1" customWidth="1"/>
    <col min="68" max="68" width="12" hidden="1" customWidth="1"/>
    <col min="69" max="71" width="0" hidden="1" customWidth="1"/>
    <col min="73" max="73" width="13.1640625" bestFit="1" customWidth="1"/>
  </cols>
  <sheetData>
    <row r="1" spans="1:72" ht="109.5" hidden="1" customHeight="1" x14ac:dyDescent="0.2">
      <c r="R1" s="2" t="s">
        <v>0</v>
      </c>
      <c r="S1" s="2" t="s">
        <v>1</v>
      </c>
      <c r="T1" s="2" t="s">
        <v>2</v>
      </c>
      <c r="U1" s="2" t="s">
        <v>3</v>
      </c>
      <c r="V1" s="2" t="s">
        <v>4</v>
      </c>
      <c r="W1" s="2" t="s">
        <v>5</v>
      </c>
      <c r="X1" s="2" t="s">
        <v>6</v>
      </c>
      <c r="Y1" s="2" t="s">
        <v>7</v>
      </c>
      <c r="Z1" s="2" t="s">
        <v>8</v>
      </c>
      <c r="AA1" s="2" t="s">
        <v>9</v>
      </c>
      <c r="AB1" s="2" t="s">
        <v>10</v>
      </c>
      <c r="AC1" s="2" t="s">
        <v>11</v>
      </c>
      <c r="AD1" s="2" t="s">
        <v>12</v>
      </c>
      <c r="AE1" s="2" t="s">
        <v>13</v>
      </c>
      <c r="AF1" s="2" t="s">
        <v>14</v>
      </c>
      <c r="AG1" s="2" t="s">
        <v>15</v>
      </c>
      <c r="AH1" s="2" t="s">
        <v>16</v>
      </c>
      <c r="AI1" s="2" t="s">
        <v>17</v>
      </c>
      <c r="AJ1" s="2" t="s">
        <v>18</v>
      </c>
      <c r="AK1" s="2" t="s">
        <v>19</v>
      </c>
      <c r="AL1" s="2" t="s">
        <v>20</v>
      </c>
      <c r="AM1" s="2" t="s">
        <v>21</v>
      </c>
      <c r="AN1" s="2" t="s">
        <v>22</v>
      </c>
      <c r="AO1" s="2" t="s">
        <v>23</v>
      </c>
      <c r="AP1" s="2" t="s">
        <v>24</v>
      </c>
      <c r="AQ1" s="2" t="s">
        <v>25</v>
      </c>
      <c r="AR1" s="2" t="s">
        <v>26</v>
      </c>
      <c r="AS1" s="2" t="s">
        <v>27</v>
      </c>
      <c r="AT1" s="2" t="s">
        <v>28</v>
      </c>
      <c r="AU1" s="2" t="s">
        <v>29</v>
      </c>
      <c r="AV1" s="2" t="s">
        <v>30</v>
      </c>
      <c r="AW1" s="2" t="s">
        <v>31</v>
      </c>
      <c r="AX1" s="2" t="s">
        <v>32</v>
      </c>
      <c r="AY1" s="2" t="s">
        <v>33</v>
      </c>
      <c r="AZ1" s="2" t="s">
        <v>34</v>
      </c>
      <c r="BA1" s="2" t="s">
        <v>35</v>
      </c>
      <c r="BB1" s="2" t="s">
        <v>36</v>
      </c>
      <c r="BC1" s="2" t="s">
        <v>37</v>
      </c>
      <c r="BD1" s="2" t="s">
        <v>38</v>
      </c>
      <c r="BE1" s="2" t="s">
        <v>39</v>
      </c>
      <c r="BF1" s="2" t="s">
        <v>22</v>
      </c>
      <c r="BG1" s="2" t="s">
        <v>23</v>
      </c>
      <c r="BH1" s="2" t="s">
        <v>24</v>
      </c>
      <c r="BI1" s="2" t="s">
        <v>25</v>
      </c>
      <c r="BJ1" s="2" t="s">
        <v>40</v>
      </c>
      <c r="BK1" s="2" t="s">
        <v>41</v>
      </c>
      <c r="BL1" s="2" t="s">
        <v>42</v>
      </c>
      <c r="BM1" s="2" t="s">
        <v>43</v>
      </c>
      <c r="BN1" s="2" t="s">
        <v>44</v>
      </c>
      <c r="BO1" s="2" t="s">
        <v>45</v>
      </c>
      <c r="BP1" s="2" t="s">
        <v>46</v>
      </c>
    </row>
    <row r="2" spans="1:72" x14ac:dyDescent="0.2">
      <c r="N2" s="23"/>
      <c r="O2" s="23"/>
      <c r="P2" s="23"/>
      <c r="R2" t="s">
        <v>155</v>
      </c>
      <c r="S2">
        <v>4</v>
      </c>
      <c r="T2" s="45">
        <v>27576</v>
      </c>
      <c r="U2" s="45" t="s">
        <v>156</v>
      </c>
      <c r="V2" t="s">
        <v>138</v>
      </c>
      <c r="W2" t="s">
        <v>137</v>
      </c>
      <c r="X2" t="s">
        <v>137</v>
      </c>
      <c r="Y2" t="s">
        <v>146</v>
      </c>
      <c r="Z2" t="s">
        <v>157</v>
      </c>
      <c r="AA2" s="22">
        <v>45300</v>
      </c>
      <c r="AB2">
        <v>0</v>
      </c>
      <c r="AC2">
        <v>0</v>
      </c>
      <c r="AD2">
        <v>0</v>
      </c>
      <c r="AE2">
        <v>0</v>
      </c>
      <c r="AF2">
        <v>0</v>
      </c>
      <c r="AG2">
        <v>0</v>
      </c>
      <c r="AH2">
        <v>0</v>
      </c>
      <c r="AI2">
        <v>0</v>
      </c>
      <c r="AJ2">
        <v>45300</v>
      </c>
      <c r="AK2">
        <v>0</v>
      </c>
      <c r="AL2">
        <v>0</v>
      </c>
      <c r="AM2">
        <v>0</v>
      </c>
      <c r="AN2">
        <v>0</v>
      </c>
      <c r="AO2">
        <v>1000</v>
      </c>
      <c r="AP2">
        <v>0</v>
      </c>
      <c r="AQ2">
        <v>0</v>
      </c>
      <c r="AR2" t="s">
        <v>158</v>
      </c>
      <c r="AS2">
        <v>0</v>
      </c>
      <c r="AT2">
        <v>0</v>
      </c>
      <c r="AU2">
        <v>0</v>
      </c>
      <c r="AV2">
        <v>0</v>
      </c>
      <c r="AW2">
        <v>0</v>
      </c>
      <c r="AX2">
        <v>0</v>
      </c>
      <c r="AY2">
        <v>0</v>
      </c>
      <c r="AZ2">
        <v>0</v>
      </c>
      <c r="BA2">
        <v>0</v>
      </c>
      <c r="BB2">
        <v>0</v>
      </c>
      <c r="BC2">
        <v>0</v>
      </c>
      <c r="BD2">
        <v>0</v>
      </c>
      <c r="BE2">
        <v>0</v>
      </c>
      <c r="BF2">
        <v>0</v>
      </c>
      <c r="BG2">
        <v>0</v>
      </c>
      <c r="BH2">
        <v>0</v>
      </c>
      <c r="BI2">
        <v>0</v>
      </c>
      <c r="BJ2">
        <v>0</v>
      </c>
      <c r="BK2" t="s">
        <v>158</v>
      </c>
      <c r="BL2" s="45">
        <v>38835</v>
      </c>
      <c r="BM2" t="s">
        <v>138</v>
      </c>
      <c r="BN2" t="s">
        <v>138</v>
      </c>
      <c r="BO2" t="s">
        <v>137</v>
      </c>
      <c r="BP2" s="87" t="s">
        <v>159</v>
      </c>
      <c r="BQ2">
        <v>-1499</v>
      </c>
      <c r="BR2" t="s">
        <v>137</v>
      </c>
      <c r="BS2" t="s">
        <v>137</v>
      </c>
    </row>
    <row r="3" spans="1:72" x14ac:dyDescent="0.2">
      <c r="A3" t="s">
        <v>0</v>
      </c>
      <c r="B3" s="96" t="s">
        <v>155</v>
      </c>
    </row>
    <row r="4" spans="1:72" x14ac:dyDescent="0.2">
      <c r="A4" s="115" t="s">
        <v>160</v>
      </c>
      <c r="B4" s="115"/>
    </row>
    <row r="5" spans="1:72" ht="15.75" x14ac:dyDescent="0.2">
      <c r="A5" t="s">
        <v>1</v>
      </c>
      <c r="B5" s="101">
        <v>6</v>
      </c>
      <c r="R5" s="116" t="s">
        <v>161</v>
      </c>
      <c r="S5" s="116"/>
      <c r="T5" s="116"/>
      <c r="U5" s="116"/>
      <c r="V5" s="116"/>
      <c r="W5" s="116"/>
      <c r="X5" s="116"/>
    </row>
    <row r="6" spans="1:72" x14ac:dyDescent="0.2">
      <c r="A6" t="s">
        <v>2</v>
      </c>
      <c r="B6" s="97">
        <v>28045.166666666668</v>
      </c>
      <c r="C6" s="47">
        <f>IF(B6="","",ROUNDDOWN((D6-B6)/365,0))</f>
        <v>47</v>
      </c>
      <c r="D6" s="45">
        <v>45291</v>
      </c>
      <c r="E6" s="47">
        <f>MAX(C6,C7)</f>
        <v>49</v>
      </c>
      <c r="R6" t="s">
        <v>158</v>
      </c>
      <c r="S6" t="s">
        <v>162</v>
      </c>
      <c r="T6" t="s">
        <v>157</v>
      </c>
      <c r="U6" t="s">
        <v>163</v>
      </c>
      <c r="V6" t="s">
        <v>164</v>
      </c>
      <c r="W6" t="s">
        <v>165</v>
      </c>
      <c r="X6" t="s">
        <v>166</v>
      </c>
    </row>
    <row r="7" spans="1:72" ht="15.75" x14ac:dyDescent="0.2">
      <c r="A7" t="s">
        <v>3</v>
      </c>
      <c r="B7" s="97">
        <v>27080.208333333332</v>
      </c>
      <c r="C7" s="47">
        <f>IF(B7="","",ROUNDDOWN((D7-B7)/365,0))</f>
        <v>49</v>
      </c>
      <c r="D7" s="45">
        <v>45291</v>
      </c>
      <c r="E7">
        <f>COUNTA(B6:B7)</f>
        <v>2</v>
      </c>
      <c r="R7" s="116" t="s">
        <v>167</v>
      </c>
      <c r="S7" s="116"/>
      <c r="T7" s="116"/>
      <c r="U7" s="116"/>
      <c r="V7" s="116"/>
      <c r="W7" s="116"/>
      <c r="X7" s="116"/>
    </row>
    <row r="8" spans="1:72" x14ac:dyDescent="0.2">
      <c r="A8" s="87" t="s">
        <v>4</v>
      </c>
      <c r="B8" s="97" t="s">
        <v>137</v>
      </c>
      <c r="C8" s="47"/>
      <c r="D8" s="45"/>
      <c r="R8" t="s">
        <v>158</v>
      </c>
      <c r="S8" t="s">
        <v>168</v>
      </c>
      <c r="T8" t="s">
        <v>169</v>
      </c>
      <c r="U8" t="s">
        <v>170</v>
      </c>
      <c r="V8" t="s">
        <v>171</v>
      </c>
      <c r="W8" t="s">
        <v>172</v>
      </c>
    </row>
    <row r="9" spans="1:72" x14ac:dyDescent="0.2">
      <c r="A9" s="87" t="s">
        <v>5</v>
      </c>
      <c r="B9" s="97" t="s">
        <v>137</v>
      </c>
      <c r="C9" s="47"/>
      <c r="D9" s="45"/>
      <c r="H9" s="87" t="s">
        <v>173</v>
      </c>
      <c r="I9" t="str">
        <f>IF(I10="Yes","Yes",IF(B3="Dependent",IF(AND(B8="No",OR(B9="No",B10="Yes",AND(B9="Yes",(B24+B26)&gt;-10001,(B24+B26)&lt;10001)),B14&lt;60000),"No","Yes"),IF(AND(B54="No",OR(B55="No",B56="Yes",AND(B55="Yes",(B43+B45)&gt;-10001,(B43+B45)&lt;10001)),B33&lt;60000),"No","Yes")))</f>
        <v>Yes</v>
      </c>
    </row>
    <row r="10" spans="1:72" x14ac:dyDescent="0.2">
      <c r="A10" s="87" t="s">
        <v>174</v>
      </c>
      <c r="B10" s="97" t="s">
        <v>138</v>
      </c>
      <c r="C10" s="47"/>
      <c r="D10" s="45"/>
      <c r="H10" t="s">
        <v>175</v>
      </c>
      <c r="I10" t="str">
        <f>IF(AND(B3="Dependent",B11="Outside of the US"),"Yes","No")</f>
        <v>No</v>
      </c>
    </row>
    <row r="11" spans="1:72" x14ac:dyDescent="0.2">
      <c r="A11" s="87" t="s">
        <v>176</v>
      </c>
      <c r="B11" s="100" t="s">
        <v>139</v>
      </c>
      <c r="C11" s="47"/>
      <c r="D11" s="45"/>
      <c r="R11" t="s">
        <v>155</v>
      </c>
      <c r="BT11" s="103"/>
    </row>
    <row r="12" spans="1:72" x14ac:dyDescent="0.2">
      <c r="A12" s="114"/>
      <c r="B12" s="114"/>
      <c r="R12" t="s">
        <v>177</v>
      </c>
    </row>
    <row r="13" spans="1:72" x14ac:dyDescent="0.2">
      <c r="A13" t="s">
        <v>8</v>
      </c>
      <c r="B13" s="98" t="s">
        <v>157</v>
      </c>
      <c r="E13" t="s">
        <v>158</v>
      </c>
      <c r="F13" t="s">
        <v>162</v>
      </c>
      <c r="G13" t="s">
        <v>157</v>
      </c>
      <c r="H13" t="s">
        <v>163</v>
      </c>
      <c r="I13" t="s">
        <v>164</v>
      </c>
      <c r="J13" t="s">
        <v>165</v>
      </c>
      <c r="K13" t="s">
        <v>166</v>
      </c>
    </row>
    <row r="14" spans="1:72" x14ac:dyDescent="0.2">
      <c r="A14" t="s">
        <v>9</v>
      </c>
      <c r="B14" s="102">
        <v>178147</v>
      </c>
      <c r="R14" t="s">
        <v>137</v>
      </c>
    </row>
    <row r="15" spans="1:72" x14ac:dyDescent="0.2">
      <c r="A15" t="s">
        <v>10</v>
      </c>
      <c r="B15" s="102">
        <v>0</v>
      </c>
      <c r="R15" t="s">
        <v>138</v>
      </c>
    </row>
    <row r="16" spans="1:72" x14ac:dyDescent="0.2">
      <c r="A16" t="s">
        <v>11</v>
      </c>
      <c r="B16" s="102">
        <v>0</v>
      </c>
      <c r="N16" s="91" t="s">
        <v>178</v>
      </c>
      <c r="O16" s="92" t="str" cm="1">
        <f t="array" ref="O16">_xlfn.IFS(B3="Dependent","Formula A",AND(B3="Independent",B51&gt;2),"Formula C",AND(B3="Independent",B52&lt;&gt;E52,B52&lt;&gt;F52,B51&gt;1),"Formula C",AND(B3="Independent",B51=1),"Formula B",AND(B3="Independent",B52&lt;&gt;D52,B52&lt;&gt;G52,B52&lt;&gt;H52,B52&lt;&gt;I52),"Formula B")</f>
        <v>Formula A</v>
      </c>
    </row>
    <row r="17" spans="1:15" ht="25.5" x14ac:dyDescent="0.2">
      <c r="A17" s="2" t="s">
        <v>12</v>
      </c>
      <c r="B17" s="102">
        <v>3570</v>
      </c>
      <c r="N17" s="91" t="s">
        <v>47</v>
      </c>
      <c r="O17" s="93" cm="1">
        <f t="array" ref="O17">_xlfn.IFS(O16="Formula A",'Formula A- Student'!C41,O16="Formula B",'Formula B'!C43,O16="Formula C",'Formula C'!C43)</f>
        <v>34904.386039999998</v>
      </c>
    </row>
    <row r="18" spans="1:15" x14ac:dyDescent="0.2">
      <c r="A18" t="s">
        <v>13</v>
      </c>
      <c r="B18" s="102">
        <v>0</v>
      </c>
      <c r="N18" s="91" t="s">
        <v>179</v>
      </c>
      <c r="O18" s="94" t="str">
        <f>IF(B3="Dependent",'Poverty guideline table'!J22,'Poverty guideline table'!J28)</f>
        <v>No</v>
      </c>
    </row>
    <row r="19" spans="1:15" x14ac:dyDescent="0.2">
      <c r="A19" t="s">
        <v>14</v>
      </c>
      <c r="B19" s="102">
        <v>0</v>
      </c>
      <c r="N19" s="91" t="s">
        <v>180</v>
      </c>
      <c r="O19" s="94" t="str">
        <f>IF(B3="Dependent",'Poverty guideline table'!J23,'Poverty guideline table'!J29)</f>
        <v>No</v>
      </c>
    </row>
    <row r="20" spans="1:15" x14ac:dyDescent="0.2">
      <c r="A20" t="s">
        <v>15</v>
      </c>
      <c r="B20" s="102">
        <v>0</v>
      </c>
      <c r="N20" s="91" t="s">
        <v>181</v>
      </c>
      <c r="O20" s="95" t="str">
        <f>IF(B3="Dependent",IF(OR(I9="No",O18="Yes"),"No","Yes"),IF(OR(O18="Yes",I9="No"),"No","Yes"))</f>
        <v>Yes</v>
      </c>
    </row>
    <row r="21" spans="1:15" x14ac:dyDescent="0.2">
      <c r="A21" t="s">
        <v>16</v>
      </c>
      <c r="B21" s="102">
        <v>0</v>
      </c>
    </row>
    <row r="22" spans="1:15" x14ac:dyDescent="0.2">
      <c r="A22" t="s">
        <v>17</v>
      </c>
      <c r="B22" s="102">
        <v>19500</v>
      </c>
    </row>
    <row r="23" spans="1:15" x14ac:dyDescent="0.2">
      <c r="A23" t="s">
        <v>18</v>
      </c>
      <c r="B23" s="102">
        <v>109512</v>
      </c>
    </row>
    <row r="24" spans="1:15" x14ac:dyDescent="0.2">
      <c r="A24" s="87" t="s">
        <v>19</v>
      </c>
      <c r="B24" s="102">
        <v>13956</v>
      </c>
    </row>
    <row r="25" spans="1:15" x14ac:dyDescent="0.2">
      <c r="A25" t="s">
        <v>20</v>
      </c>
      <c r="B25" s="102">
        <v>0</v>
      </c>
    </row>
    <row r="26" spans="1:15" x14ac:dyDescent="0.2">
      <c r="A26" s="87" t="s">
        <v>21</v>
      </c>
      <c r="B26" s="102">
        <v>0</v>
      </c>
    </row>
    <row r="27" spans="1:15" x14ac:dyDescent="0.2">
      <c r="A27" s="87" t="s">
        <v>22</v>
      </c>
      <c r="B27" s="102">
        <v>0</v>
      </c>
    </row>
    <row r="28" spans="1:15" x14ac:dyDescent="0.2">
      <c r="A28" t="s">
        <v>23</v>
      </c>
      <c r="B28" s="102">
        <v>50000</v>
      </c>
    </row>
    <row r="29" spans="1:15" x14ac:dyDescent="0.2">
      <c r="A29" s="87" t="s">
        <v>24</v>
      </c>
      <c r="B29" s="102">
        <v>0</v>
      </c>
    </row>
    <row r="30" spans="1:15" x14ac:dyDescent="0.2">
      <c r="A30" s="87" t="s">
        <v>25</v>
      </c>
      <c r="B30" s="102">
        <v>0</v>
      </c>
    </row>
    <row r="31" spans="1:15" x14ac:dyDescent="0.2">
      <c r="A31" s="115" t="s">
        <v>182</v>
      </c>
      <c r="B31" s="115"/>
    </row>
    <row r="32" spans="1:15" x14ac:dyDescent="0.2">
      <c r="A32" s="87" t="s">
        <v>26</v>
      </c>
      <c r="B32" s="98" t="s">
        <v>158</v>
      </c>
      <c r="C32" s="98"/>
      <c r="D32" s="98"/>
      <c r="E32" s="98"/>
      <c r="F32" s="98"/>
      <c r="G32" s="98"/>
      <c r="H32" s="98"/>
      <c r="I32" s="98"/>
      <c r="J32" s="98"/>
      <c r="K32" s="98"/>
      <c r="L32" s="98"/>
    </row>
    <row r="33" spans="1:2" x14ac:dyDescent="0.2">
      <c r="A33" t="s">
        <v>27</v>
      </c>
      <c r="B33" s="96">
        <v>10115</v>
      </c>
    </row>
    <row r="34" spans="1:2" x14ac:dyDescent="0.2">
      <c r="A34" t="s">
        <v>28</v>
      </c>
      <c r="B34" s="96">
        <v>0</v>
      </c>
    </row>
    <row r="35" spans="1:2" x14ac:dyDescent="0.2">
      <c r="A35" t="s">
        <v>29</v>
      </c>
      <c r="B35" s="96">
        <v>0</v>
      </c>
    </row>
    <row r="36" spans="1:2" ht="25.5" x14ac:dyDescent="0.2">
      <c r="A36" s="2" t="s">
        <v>30</v>
      </c>
      <c r="B36" s="96">
        <v>0</v>
      </c>
    </row>
    <row r="37" spans="1:2" x14ac:dyDescent="0.2">
      <c r="A37" t="s">
        <v>31</v>
      </c>
      <c r="B37" s="96">
        <v>0</v>
      </c>
    </row>
    <row r="38" spans="1:2" x14ac:dyDescent="0.2">
      <c r="A38" t="s">
        <v>32</v>
      </c>
      <c r="B38" s="96">
        <v>0</v>
      </c>
    </row>
    <row r="39" spans="1:2" x14ac:dyDescent="0.2">
      <c r="A39" t="s">
        <v>33</v>
      </c>
      <c r="B39" s="96">
        <v>0</v>
      </c>
    </row>
    <row r="40" spans="1:2" x14ac:dyDescent="0.2">
      <c r="A40" t="s">
        <v>34</v>
      </c>
      <c r="B40" s="96">
        <v>0</v>
      </c>
    </row>
    <row r="41" spans="1:2" x14ac:dyDescent="0.2">
      <c r="A41" t="s">
        <v>35</v>
      </c>
      <c r="B41" s="96">
        <v>0</v>
      </c>
    </row>
    <row r="42" spans="1:2" x14ac:dyDescent="0.2">
      <c r="A42" t="s">
        <v>36</v>
      </c>
      <c r="B42" s="96">
        <v>0</v>
      </c>
    </row>
    <row r="43" spans="1:2" x14ac:dyDescent="0.2">
      <c r="A43" s="87" t="s">
        <v>37</v>
      </c>
      <c r="B43" s="96">
        <v>0</v>
      </c>
    </row>
    <row r="44" spans="1:2" x14ac:dyDescent="0.2">
      <c r="A44" s="87" t="s">
        <v>38</v>
      </c>
      <c r="B44" s="96">
        <v>0</v>
      </c>
    </row>
    <row r="45" spans="1:2" x14ac:dyDescent="0.2">
      <c r="A45" s="87" t="s">
        <v>39</v>
      </c>
      <c r="B45" s="96">
        <v>0</v>
      </c>
    </row>
    <row r="46" spans="1:2" x14ac:dyDescent="0.2">
      <c r="A46" s="87" t="s">
        <v>22</v>
      </c>
      <c r="B46" s="96">
        <v>0</v>
      </c>
    </row>
    <row r="47" spans="1:2" x14ac:dyDescent="0.2">
      <c r="A47" t="s">
        <v>23</v>
      </c>
      <c r="B47" s="96">
        <v>0</v>
      </c>
    </row>
    <row r="48" spans="1:2" x14ac:dyDescent="0.2">
      <c r="A48" s="87" t="s">
        <v>24</v>
      </c>
      <c r="B48" s="96">
        <v>0</v>
      </c>
    </row>
    <row r="49" spans="1:9" x14ac:dyDescent="0.2">
      <c r="A49" s="87" t="s">
        <v>25</v>
      </c>
      <c r="B49" s="96">
        <v>0</v>
      </c>
    </row>
    <row r="50" spans="1:9" x14ac:dyDescent="0.2">
      <c r="A50" s="115" t="s">
        <v>183</v>
      </c>
      <c r="B50" s="115"/>
    </row>
    <row r="51" spans="1:9" x14ac:dyDescent="0.2">
      <c r="A51" s="87" t="s">
        <v>40</v>
      </c>
      <c r="B51" s="96">
        <v>1</v>
      </c>
    </row>
    <row r="52" spans="1:9" x14ac:dyDescent="0.2">
      <c r="A52" s="87" t="s">
        <v>41</v>
      </c>
      <c r="B52" s="99" t="s">
        <v>158</v>
      </c>
      <c r="D52" s="87" t="s">
        <v>158</v>
      </c>
      <c r="E52" s="87" t="s">
        <v>168</v>
      </c>
      <c r="F52" s="87" t="s">
        <v>169</v>
      </c>
      <c r="G52" s="87" t="s">
        <v>170</v>
      </c>
      <c r="H52" s="87" t="s">
        <v>171</v>
      </c>
      <c r="I52" s="87" t="s">
        <v>172</v>
      </c>
    </row>
    <row r="53" spans="1:9" x14ac:dyDescent="0.2">
      <c r="A53" s="87" t="s">
        <v>42</v>
      </c>
      <c r="B53" s="97">
        <v>38754.208333333336</v>
      </c>
      <c r="C53" s="46">
        <f>IF(B53="","",ROUNDDOWN((D6-B53)/365,0))</f>
        <v>17</v>
      </c>
      <c r="D53" s="45">
        <v>45291</v>
      </c>
    </row>
    <row r="54" spans="1:9" x14ac:dyDescent="0.2">
      <c r="A54" s="87" t="s">
        <v>43</v>
      </c>
      <c r="B54" s="96" t="s">
        <v>138</v>
      </c>
    </row>
    <row r="55" spans="1:9" x14ac:dyDescent="0.2">
      <c r="A55" s="87" t="s">
        <v>44</v>
      </c>
      <c r="B55" s="96" t="s">
        <v>138</v>
      </c>
    </row>
    <row r="56" spans="1:9" x14ac:dyDescent="0.2">
      <c r="A56" s="87" t="s">
        <v>184</v>
      </c>
      <c r="B56" s="96" t="s">
        <v>138</v>
      </c>
    </row>
    <row r="57" spans="1:9" x14ac:dyDescent="0.2">
      <c r="A57" s="87" t="s">
        <v>185</v>
      </c>
      <c r="B57" s="96" t="s">
        <v>139</v>
      </c>
    </row>
  </sheetData>
  <mergeCells count="6">
    <mergeCell ref="A12:B12"/>
    <mergeCell ref="A4:B4"/>
    <mergeCell ref="A31:B31"/>
    <mergeCell ref="A50:B50"/>
    <mergeCell ref="R5:X5"/>
    <mergeCell ref="R7:X7"/>
  </mergeCells>
  <dataValidations count="4">
    <dataValidation type="list" allowBlank="1" showInputMessage="1" showErrorMessage="1" sqref="B3" xr:uid="{9DBFC1EB-755D-4245-8E96-9E2200464455}">
      <formula1>$R$11:$R$12</formula1>
    </dataValidation>
    <dataValidation type="list" allowBlank="1" showInputMessage="1" showErrorMessage="1" sqref="B54:B56 B8:B10" xr:uid="{9FE8B835-004C-4119-8830-9DBC4C1248C4}">
      <formula1>$R$14:$R$15</formula1>
    </dataValidation>
    <dataValidation type="list" allowBlank="1" showInputMessage="1" showErrorMessage="1" sqref="B13 B32:L32" xr:uid="{C67D3B22-FCB5-476D-8A59-EB713AA4E55E}">
      <formula1>$R$6:$X$6</formula1>
    </dataValidation>
    <dataValidation type="list" allowBlank="1" showInputMessage="1" showErrorMessage="1" sqref="B52" xr:uid="{462AAB5D-7B23-44DB-BF1B-5A9D5699BC19}">
      <formula1>$R$8:$W$8</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00B050"/>
  </sheetPr>
  <dimension ref="A1:J43"/>
  <sheetViews>
    <sheetView workbookViewId="0">
      <selection activeCell="C22" sqref="C22"/>
    </sheetView>
  </sheetViews>
  <sheetFormatPr defaultRowHeight="12.75" x14ac:dyDescent="0.2"/>
  <cols>
    <col min="1" max="1" width="93.33203125" customWidth="1"/>
    <col min="2" max="2" width="6.1640625" customWidth="1"/>
    <col min="3" max="3" width="12.6640625" customWidth="1"/>
    <col min="4" max="4" width="2.6640625" customWidth="1"/>
    <col min="5" max="5" width="13.83203125" bestFit="1" customWidth="1"/>
    <col min="10" max="10" width="11.33203125" bestFit="1" customWidth="1"/>
  </cols>
  <sheetData>
    <row r="1" spans="1:4" ht="88.5" customHeight="1" x14ac:dyDescent="0.2">
      <c r="A1" s="121" t="s">
        <v>186</v>
      </c>
      <c r="B1" s="121"/>
      <c r="C1" s="121"/>
      <c r="D1" s="121"/>
    </row>
    <row r="2" spans="1:4" ht="16.5" customHeight="1" x14ac:dyDescent="0.2">
      <c r="A2" s="117" t="s">
        <v>187</v>
      </c>
      <c r="B2" s="118"/>
      <c r="C2" s="119"/>
    </row>
    <row r="3" spans="1:4" ht="16.5" customHeight="1" x14ac:dyDescent="0.2">
      <c r="A3" s="5" t="s">
        <v>188</v>
      </c>
      <c r="B3" s="6"/>
      <c r="C3" s="40">
        <f>Calculator!B14</f>
        <v>178147</v>
      </c>
    </row>
    <row r="4" spans="1:4" ht="16.5" customHeight="1" x14ac:dyDescent="0.2">
      <c r="A4" s="5" t="s">
        <v>189</v>
      </c>
      <c r="B4" s="8" t="s">
        <v>190</v>
      </c>
      <c r="C4" s="40">
        <f>Calculator!B15</f>
        <v>0</v>
      </c>
    </row>
    <row r="5" spans="1:4" ht="16.5" customHeight="1" x14ac:dyDescent="0.2">
      <c r="A5" s="5" t="s">
        <v>191</v>
      </c>
      <c r="B5" s="8" t="s">
        <v>190</v>
      </c>
      <c r="C5" s="40">
        <f>Calculator!B16</f>
        <v>0</v>
      </c>
    </row>
    <row r="6" spans="1:4" ht="33.75" customHeight="1" x14ac:dyDescent="0.2">
      <c r="A6" s="5" t="s">
        <v>192</v>
      </c>
      <c r="B6" s="10" t="s">
        <v>190</v>
      </c>
      <c r="C6" s="40">
        <f>Calculator!B17</f>
        <v>3570</v>
      </c>
    </row>
    <row r="7" spans="1:4" ht="33.75" customHeight="1" x14ac:dyDescent="0.2">
      <c r="A7" s="5" t="s">
        <v>193</v>
      </c>
      <c r="B7" s="10" t="s">
        <v>194</v>
      </c>
      <c r="C7" s="40"/>
    </row>
    <row r="8" spans="1:4" ht="33.75" customHeight="1" x14ac:dyDescent="0.2">
      <c r="A8" s="5" t="s">
        <v>195</v>
      </c>
      <c r="B8" s="10" t="s">
        <v>190</v>
      </c>
      <c r="C8" s="40">
        <f>Calculator!B18</f>
        <v>0</v>
      </c>
    </row>
    <row r="9" spans="1:4" ht="16.5" customHeight="1" x14ac:dyDescent="0.2">
      <c r="A9" s="12" t="s">
        <v>196</v>
      </c>
      <c r="B9" s="8" t="s">
        <v>197</v>
      </c>
      <c r="C9" s="40">
        <f>SUM(C3:C8)</f>
        <v>181717</v>
      </c>
    </row>
    <row r="10" spans="1:4" ht="16.5" customHeight="1" x14ac:dyDescent="0.2">
      <c r="A10" s="117" t="s">
        <v>198</v>
      </c>
      <c r="B10" s="118"/>
      <c r="C10" s="119"/>
    </row>
    <row r="11" spans="1:4" ht="16.5" customHeight="1" x14ac:dyDescent="0.2">
      <c r="A11" s="5" t="s">
        <v>199</v>
      </c>
      <c r="B11" s="6"/>
      <c r="C11" s="40">
        <f>Calculator!B19</f>
        <v>0</v>
      </c>
    </row>
    <row r="12" spans="1:4" ht="16.5" customHeight="1" x14ac:dyDescent="0.2">
      <c r="A12" s="5" t="s">
        <v>200</v>
      </c>
      <c r="B12" s="8" t="s">
        <v>190</v>
      </c>
      <c r="C12" s="40">
        <f>Calculator!B20</f>
        <v>0</v>
      </c>
    </row>
    <row r="13" spans="1:4" ht="16.5" customHeight="1" x14ac:dyDescent="0.2">
      <c r="A13" s="5" t="s">
        <v>201</v>
      </c>
      <c r="B13" s="8" t="s">
        <v>190</v>
      </c>
      <c r="C13" s="40">
        <f>Calculator!B21</f>
        <v>0</v>
      </c>
    </row>
    <row r="14" spans="1:4" ht="16.5" customHeight="1" x14ac:dyDescent="0.2">
      <c r="A14" s="12" t="s">
        <v>202</v>
      </c>
      <c r="B14" s="8" t="s">
        <v>197</v>
      </c>
      <c r="C14" s="40">
        <f>SUM(C11:C13)</f>
        <v>0</v>
      </c>
    </row>
    <row r="15" spans="1:4" ht="52.5" customHeight="1" x14ac:dyDescent="0.25">
      <c r="A15" s="4" t="s">
        <v>203</v>
      </c>
      <c r="B15" s="13" t="s">
        <v>197</v>
      </c>
      <c r="C15" s="43">
        <f>C9-C14</f>
        <v>181717</v>
      </c>
    </row>
    <row r="16" spans="1:4" ht="16.5" customHeight="1" x14ac:dyDescent="0.2">
      <c r="A16" s="117" t="s">
        <v>204</v>
      </c>
      <c r="B16" s="118"/>
      <c r="C16" s="119"/>
    </row>
    <row r="17" spans="1:10" ht="16.5" customHeight="1" x14ac:dyDescent="0.2">
      <c r="A17" s="12" t="s">
        <v>205</v>
      </c>
      <c r="B17" s="6"/>
      <c r="C17" s="40">
        <f>Calculator!B22</f>
        <v>19500</v>
      </c>
      <c r="E17" t="s">
        <v>206</v>
      </c>
      <c r="F17">
        <f>Calculator!B23</f>
        <v>109512</v>
      </c>
    </row>
    <row r="18" spans="1:10" ht="16.5" customHeight="1" x14ac:dyDescent="0.2">
      <c r="A18" s="12" t="s">
        <v>207</v>
      </c>
      <c r="B18" s="6"/>
      <c r="C18" s="41"/>
      <c r="E18" t="s">
        <v>208</v>
      </c>
      <c r="F18">
        <f>Calculator!B25+Calculator!B26</f>
        <v>0</v>
      </c>
    </row>
    <row r="19" spans="1:10" ht="33.75" customHeight="1" x14ac:dyDescent="0.2">
      <c r="A19" s="5" t="s">
        <v>209</v>
      </c>
      <c r="B19" s="10" t="s">
        <v>190</v>
      </c>
      <c r="C19" s="42">
        <f>'Table A1 '!B14</f>
        <v>1587.924</v>
      </c>
      <c r="J19" s="23"/>
    </row>
    <row r="20" spans="1:10" ht="33.75" customHeight="1" x14ac:dyDescent="0.2">
      <c r="A20" s="5" t="s">
        <v>210</v>
      </c>
      <c r="B20" s="10" t="s">
        <v>190</v>
      </c>
      <c r="C20" s="42">
        <f>'Table A1 '!B21</f>
        <v>6789.7439999999997</v>
      </c>
    </row>
    <row r="21" spans="1:10" ht="34.5" customHeight="1" x14ac:dyDescent="0.2">
      <c r="A21" s="4" t="s">
        <v>211</v>
      </c>
      <c r="B21" s="10" t="s">
        <v>190</v>
      </c>
      <c r="C21" s="42">
        <f>VLOOKUP(Calculator!B5,'Tables A2, A3, A4'!L3:M21,2,FALSE)</f>
        <v>61930</v>
      </c>
      <c r="E21" t="s">
        <v>212</v>
      </c>
      <c r="F21">
        <f>Calculator!B5</f>
        <v>6</v>
      </c>
    </row>
    <row r="22" spans="1:10" ht="69.75" customHeight="1" x14ac:dyDescent="0.25">
      <c r="A22" s="86" t="s">
        <v>213</v>
      </c>
      <c r="B22" s="13" t="s">
        <v>190</v>
      </c>
      <c r="C22" s="43">
        <f>MIN(F22,(F17+F18)*E22)</f>
        <v>5000</v>
      </c>
      <c r="E22" s="35">
        <v>0.35</v>
      </c>
      <c r="F22" s="36">
        <v>5000</v>
      </c>
    </row>
    <row r="23" spans="1:10" ht="16.5" customHeight="1" x14ac:dyDescent="0.2">
      <c r="A23" s="12" t="s">
        <v>214</v>
      </c>
      <c r="B23" s="8" t="s">
        <v>197</v>
      </c>
      <c r="C23" s="40">
        <f>SUM(C19:C22)+C17</f>
        <v>94807.668000000005</v>
      </c>
    </row>
    <row r="24" spans="1:10" ht="16.5" customHeight="1" x14ac:dyDescent="0.2">
      <c r="A24" s="117" t="s">
        <v>215</v>
      </c>
      <c r="B24" s="118"/>
      <c r="C24" s="119"/>
    </row>
    <row r="25" spans="1:10" ht="16.5" customHeight="1" x14ac:dyDescent="0.2">
      <c r="A25" s="12" t="s">
        <v>216</v>
      </c>
      <c r="B25" s="6"/>
      <c r="C25" s="7">
        <f>C15</f>
        <v>181717</v>
      </c>
    </row>
    <row r="26" spans="1:10" ht="16.5" customHeight="1" x14ac:dyDescent="0.2">
      <c r="A26" s="12" t="s">
        <v>217</v>
      </c>
      <c r="B26" s="8" t="s">
        <v>218</v>
      </c>
      <c r="C26" s="7">
        <f>C23</f>
        <v>94807.668000000005</v>
      </c>
    </row>
    <row r="27" spans="1:10" ht="33.75" customHeight="1" x14ac:dyDescent="0.2">
      <c r="A27" s="4" t="s">
        <v>219</v>
      </c>
      <c r="B27" s="10" t="s">
        <v>197</v>
      </c>
      <c r="C27" s="11">
        <f>C25-C26</f>
        <v>86909.331999999995</v>
      </c>
    </row>
    <row r="28" spans="1:10" ht="15.75" x14ac:dyDescent="0.2">
      <c r="A28" s="120" t="s">
        <v>220</v>
      </c>
      <c r="B28" s="120"/>
      <c r="C28" s="120"/>
      <c r="D28" s="120"/>
    </row>
    <row r="29" spans="1:10" ht="15" x14ac:dyDescent="0.2">
      <c r="A29" s="12" t="s">
        <v>221</v>
      </c>
      <c r="B29" s="6"/>
      <c r="C29" s="40">
        <f>Calculator!B27</f>
        <v>0</v>
      </c>
    </row>
    <row r="30" spans="1:10" ht="15" x14ac:dyDescent="0.2">
      <c r="A30" s="12" t="s">
        <v>222</v>
      </c>
      <c r="B30" s="14" t="s">
        <v>190</v>
      </c>
      <c r="C30" s="40">
        <f>Calculator!B28</f>
        <v>50000</v>
      </c>
    </row>
    <row r="31" spans="1:10" ht="75" x14ac:dyDescent="0.25">
      <c r="A31" s="86" t="s">
        <v>223</v>
      </c>
      <c r="B31" s="13" t="s">
        <v>190</v>
      </c>
      <c r="C31" s="43">
        <f>Calculator!B29</f>
        <v>0</v>
      </c>
    </row>
    <row r="32" spans="1:10" ht="45" x14ac:dyDescent="0.25">
      <c r="A32" s="4" t="s">
        <v>224</v>
      </c>
      <c r="B32" s="13" t="s">
        <v>190</v>
      </c>
      <c r="C32" s="43">
        <f>'Tables A2, A3, A4'!U3</f>
        <v>0</v>
      </c>
    </row>
    <row r="33" spans="1:4" ht="15" x14ac:dyDescent="0.2">
      <c r="A33" s="12" t="s">
        <v>225</v>
      </c>
      <c r="B33" s="8" t="s">
        <v>197</v>
      </c>
      <c r="C33" s="40">
        <f>SUM(C29:C32)</f>
        <v>50000</v>
      </c>
    </row>
    <row r="34" spans="1:4" ht="15" x14ac:dyDescent="0.2">
      <c r="A34" s="12" t="s">
        <v>226</v>
      </c>
      <c r="B34" s="8" t="s">
        <v>218</v>
      </c>
      <c r="C34" s="40">
        <f>'Tables A2, A3, A4'!D17</f>
        <v>0</v>
      </c>
    </row>
    <row r="35" spans="1:4" ht="15" x14ac:dyDescent="0.2">
      <c r="A35" s="12" t="s">
        <v>227</v>
      </c>
      <c r="B35" s="8" t="s">
        <v>228</v>
      </c>
      <c r="C35" s="44">
        <v>0.12</v>
      </c>
    </row>
    <row r="36" spans="1:4" ht="45" x14ac:dyDescent="0.25">
      <c r="A36" s="4" t="s">
        <v>229</v>
      </c>
      <c r="B36" s="13" t="s">
        <v>197</v>
      </c>
      <c r="C36" s="43">
        <f>IF(Calculator!O20="No",0,(C33-C34)*C35)</f>
        <v>6000</v>
      </c>
    </row>
    <row r="37" spans="1:4" ht="15.75" x14ac:dyDescent="0.2">
      <c r="A37" s="120" t="s">
        <v>230</v>
      </c>
      <c r="B37" s="120"/>
      <c r="C37" s="120"/>
      <c r="D37" s="120"/>
    </row>
    <row r="38" spans="1:4" ht="15" x14ac:dyDescent="0.2">
      <c r="A38" s="117" t="s">
        <v>231</v>
      </c>
      <c r="B38" s="118"/>
      <c r="C38" s="119"/>
    </row>
    <row r="39" spans="1:4" ht="15" x14ac:dyDescent="0.2">
      <c r="A39" s="12" t="s">
        <v>232</v>
      </c>
      <c r="B39" s="6"/>
      <c r="C39" s="7">
        <f>C27</f>
        <v>86909.331999999995</v>
      </c>
    </row>
    <row r="40" spans="1:4" ht="15" x14ac:dyDescent="0.2">
      <c r="A40" s="12" t="s">
        <v>233</v>
      </c>
      <c r="B40" s="8" t="s">
        <v>190</v>
      </c>
      <c r="C40" s="48">
        <f>C36</f>
        <v>6000</v>
      </c>
    </row>
    <row r="41" spans="1:4" ht="30" x14ac:dyDescent="0.2">
      <c r="A41" s="4" t="s">
        <v>234</v>
      </c>
      <c r="B41" s="10" t="s">
        <v>197</v>
      </c>
      <c r="C41" s="11">
        <f>C39+C40</f>
        <v>92909.331999999995</v>
      </c>
    </row>
    <row r="42" spans="1:4" ht="15" x14ac:dyDescent="0.2">
      <c r="A42" s="117" t="s">
        <v>235</v>
      </c>
      <c r="B42" s="118"/>
      <c r="C42" s="119"/>
    </row>
    <row r="43" spans="1:4" ht="30" x14ac:dyDescent="0.2">
      <c r="A43" s="4" t="s">
        <v>236</v>
      </c>
      <c r="B43" s="10" t="s">
        <v>197</v>
      </c>
      <c r="C43" s="30">
        <f>'Table A5'!M2</f>
        <v>34904.386039999998</v>
      </c>
    </row>
  </sheetData>
  <mergeCells count="9">
    <mergeCell ref="A42:C42"/>
    <mergeCell ref="A28:D28"/>
    <mergeCell ref="A37:D37"/>
    <mergeCell ref="A38:C38"/>
    <mergeCell ref="A1:D1"/>
    <mergeCell ref="A2:C2"/>
    <mergeCell ref="A10:C10"/>
    <mergeCell ref="A16:C16"/>
    <mergeCell ref="A24:C2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dimension ref="A1:F41"/>
  <sheetViews>
    <sheetView topLeftCell="A8" workbookViewId="0">
      <selection activeCell="C27" sqref="C27"/>
    </sheetView>
  </sheetViews>
  <sheetFormatPr defaultRowHeight="12.75" x14ac:dyDescent="0.2"/>
  <cols>
    <col min="1" max="1" width="93.33203125" customWidth="1"/>
    <col min="2" max="2" width="6.1640625" customWidth="1"/>
    <col min="3" max="3" width="11.83203125" bestFit="1" customWidth="1"/>
    <col min="4" max="4" width="2.6640625" customWidth="1"/>
    <col min="5" max="5" width="16.83203125" bestFit="1" customWidth="1"/>
    <col min="6" max="6" width="12.33203125" bestFit="1" customWidth="1"/>
  </cols>
  <sheetData>
    <row r="1" spans="1:4" ht="18" customHeight="1" x14ac:dyDescent="0.2">
      <c r="A1" s="120" t="s">
        <v>237</v>
      </c>
      <c r="B1" s="120"/>
      <c r="C1" s="120"/>
      <c r="D1" s="120"/>
    </row>
    <row r="2" spans="1:4" ht="16.5" customHeight="1" x14ac:dyDescent="0.2">
      <c r="A2" s="117" t="s">
        <v>238</v>
      </c>
      <c r="B2" s="118"/>
      <c r="C2" s="119"/>
    </row>
    <row r="3" spans="1:4" ht="16.5" customHeight="1" x14ac:dyDescent="0.2">
      <c r="A3" s="5" t="s">
        <v>239</v>
      </c>
      <c r="B3" s="6"/>
      <c r="C3" s="7">
        <f>Calculator!B33</f>
        <v>10115</v>
      </c>
    </row>
    <row r="4" spans="1:4" ht="16.5" customHeight="1" x14ac:dyDescent="0.2">
      <c r="A4" s="5" t="s">
        <v>240</v>
      </c>
      <c r="B4" s="8" t="s">
        <v>190</v>
      </c>
      <c r="C4" s="7">
        <f>Calculator!B34</f>
        <v>0</v>
      </c>
    </row>
    <row r="5" spans="1:4" ht="16.5" customHeight="1" x14ac:dyDescent="0.2">
      <c r="A5" s="5" t="s">
        <v>241</v>
      </c>
      <c r="B5" s="8" t="s">
        <v>190</v>
      </c>
      <c r="C5" s="7">
        <f>Calculator!B35</f>
        <v>0</v>
      </c>
    </row>
    <row r="6" spans="1:4" ht="33.75" customHeight="1" x14ac:dyDescent="0.2">
      <c r="A6" s="9" t="s">
        <v>242</v>
      </c>
      <c r="B6" s="10" t="s">
        <v>190</v>
      </c>
      <c r="C6" s="7">
        <f>Calculator!B36</f>
        <v>0</v>
      </c>
    </row>
    <row r="7" spans="1:4" ht="33.75" customHeight="1" x14ac:dyDescent="0.2">
      <c r="A7" s="9" t="s">
        <v>243</v>
      </c>
      <c r="B7" s="10" t="s">
        <v>194</v>
      </c>
      <c r="C7" s="7"/>
    </row>
    <row r="8" spans="1:4" ht="33.75" customHeight="1" x14ac:dyDescent="0.2">
      <c r="A8" s="5" t="s">
        <v>244</v>
      </c>
      <c r="B8" s="10" t="s">
        <v>190</v>
      </c>
      <c r="C8" s="7">
        <f>Calculator!B37</f>
        <v>0</v>
      </c>
    </row>
    <row r="9" spans="1:4" ht="16.5" customHeight="1" x14ac:dyDescent="0.2">
      <c r="A9" s="12" t="s">
        <v>245</v>
      </c>
      <c r="B9" s="8" t="s">
        <v>197</v>
      </c>
      <c r="C9" s="7">
        <f>SUM(C3:C8)</f>
        <v>10115</v>
      </c>
    </row>
    <row r="10" spans="1:4" ht="16.5" customHeight="1" x14ac:dyDescent="0.2">
      <c r="A10" s="117" t="s">
        <v>246</v>
      </c>
      <c r="B10" s="118"/>
      <c r="C10" s="119"/>
    </row>
    <row r="11" spans="1:4" ht="16.5" customHeight="1" x14ac:dyDescent="0.2">
      <c r="A11" s="5" t="s">
        <v>247</v>
      </c>
      <c r="B11" s="6"/>
      <c r="C11" s="7">
        <f>Calculator!B38</f>
        <v>0</v>
      </c>
    </row>
    <row r="12" spans="1:4" ht="16.5" customHeight="1" x14ac:dyDescent="0.2">
      <c r="A12" s="5" t="s">
        <v>248</v>
      </c>
      <c r="B12" s="8" t="s">
        <v>190</v>
      </c>
      <c r="C12" s="7">
        <f>Calculator!B39</f>
        <v>0</v>
      </c>
    </row>
    <row r="13" spans="1:4" ht="16.5" customHeight="1" x14ac:dyDescent="0.2">
      <c r="A13" s="5" t="s">
        <v>249</v>
      </c>
      <c r="B13" s="8" t="s">
        <v>190</v>
      </c>
      <c r="C13" s="7">
        <f>Calculator!B40</f>
        <v>0</v>
      </c>
    </row>
    <row r="14" spans="1:4" ht="16.5" customHeight="1" x14ac:dyDescent="0.2">
      <c r="A14" s="12" t="s">
        <v>250</v>
      </c>
      <c r="B14" s="8" t="s">
        <v>197</v>
      </c>
      <c r="C14" s="7">
        <f>SUM(C11:C13)</f>
        <v>0</v>
      </c>
    </row>
    <row r="15" spans="1:4" ht="52.5" customHeight="1" x14ac:dyDescent="0.25">
      <c r="A15" s="4" t="s">
        <v>251</v>
      </c>
      <c r="B15" s="13" t="s">
        <v>197</v>
      </c>
      <c r="C15" s="4">
        <f>C9-C14</f>
        <v>10115</v>
      </c>
    </row>
    <row r="16" spans="1:4" ht="16.5" customHeight="1" x14ac:dyDescent="0.2">
      <c r="A16" s="117" t="s">
        <v>252</v>
      </c>
      <c r="B16" s="118"/>
      <c r="C16" s="119"/>
    </row>
    <row r="17" spans="1:4" ht="16.5" customHeight="1" x14ac:dyDescent="0.2">
      <c r="A17" s="12" t="s">
        <v>253</v>
      </c>
      <c r="B17" s="6"/>
      <c r="C17" s="7">
        <f>Calculator!B41</f>
        <v>0</v>
      </c>
    </row>
    <row r="18" spans="1:4" ht="16.5" customHeight="1" x14ac:dyDescent="0.2">
      <c r="A18" s="12" t="s">
        <v>254</v>
      </c>
      <c r="B18" s="6"/>
      <c r="C18" s="6"/>
    </row>
    <row r="19" spans="1:4" ht="33.75" customHeight="1" x14ac:dyDescent="0.2">
      <c r="A19" s="5" t="s">
        <v>255</v>
      </c>
      <c r="B19" s="10" t="s">
        <v>190</v>
      </c>
      <c r="C19" s="30">
        <f>'Table A1 '!B25</f>
        <v>0</v>
      </c>
    </row>
    <row r="20" spans="1:4" ht="33.75" customHeight="1" x14ac:dyDescent="0.2">
      <c r="A20" s="5" t="s">
        <v>210</v>
      </c>
      <c r="B20" s="10" t="s">
        <v>190</v>
      </c>
      <c r="C20" s="11">
        <f>'Table A1 '!B30</f>
        <v>0</v>
      </c>
    </row>
    <row r="21" spans="1:4" ht="16.5" customHeight="1" x14ac:dyDescent="0.2">
      <c r="A21" s="12" t="s">
        <v>256</v>
      </c>
      <c r="B21" s="8" t="s">
        <v>190</v>
      </c>
      <c r="C21" s="16">
        <v>11510</v>
      </c>
    </row>
    <row r="22" spans="1:4" ht="51.75" customHeight="1" x14ac:dyDescent="0.25">
      <c r="A22" s="4" t="s">
        <v>257</v>
      </c>
      <c r="B22" s="13" t="s">
        <v>190</v>
      </c>
      <c r="C22" s="4">
        <f>IF('Formula A-Parents'!C41&lt;0,'Formula A-Parents'!C41*-1,0)</f>
        <v>0</v>
      </c>
    </row>
    <row r="23" spans="1:4" ht="16.5" customHeight="1" x14ac:dyDescent="0.2">
      <c r="A23" s="12" t="s">
        <v>258</v>
      </c>
      <c r="B23" s="8" t="s">
        <v>197</v>
      </c>
      <c r="C23" s="7">
        <f>SUM(C17:C22)</f>
        <v>11510</v>
      </c>
    </row>
    <row r="24" spans="1:4" ht="16.5" customHeight="1" x14ac:dyDescent="0.2">
      <c r="A24" s="117" t="s">
        <v>259</v>
      </c>
      <c r="B24" s="118"/>
      <c r="C24" s="119"/>
    </row>
    <row r="25" spans="1:4" ht="16.5" customHeight="1" x14ac:dyDescent="0.2">
      <c r="A25" s="12" t="s">
        <v>260</v>
      </c>
      <c r="B25" s="6"/>
      <c r="C25" s="7">
        <f>C15</f>
        <v>10115</v>
      </c>
    </row>
    <row r="26" spans="1:4" ht="16.5" customHeight="1" x14ac:dyDescent="0.2">
      <c r="A26" s="12" t="s">
        <v>261</v>
      </c>
      <c r="B26" s="8" t="s">
        <v>218</v>
      </c>
      <c r="C26" s="7">
        <f>C23</f>
        <v>11510</v>
      </c>
    </row>
    <row r="27" spans="1:4" ht="34.5" customHeight="1" x14ac:dyDescent="0.2">
      <c r="A27" s="4" t="s">
        <v>262</v>
      </c>
      <c r="B27" s="10" t="s">
        <v>197</v>
      </c>
      <c r="C27" s="11">
        <f>C25-C26</f>
        <v>-1395</v>
      </c>
    </row>
    <row r="28" spans="1:4" ht="16.5" customHeight="1" x14ac:dyDescent="0.2">
      <c r="A28" s="12" t="s">
        <v>263</v>
      </c>
      <c r="B28" s="8" t="s">
        <v>228</v>
      </c>
      <c r="C28" s="15">
        <v>0.5</v>
      </c>
    </row>
    <row r="29" spans="1:4" ht="30" x14ac:dyDescent="0.25">
      <c r="A29" s="12" t="s">
        <v>264</v>
      </c>
      <c r="B29" s="13" t="s">
        <v>197</v>
      </c>
      <c r="C29" s="4">
        <f>MAX((C27*C28),0)</f>
        <v>0</v>
      </c>
    </row>
    <row r="30" spans="1:4" ht="15.75" x14ac:dyDescent="0.2">
      <c r="A30" s="120" t="s">
        <v>265</v>
      </c>
      <c r="B30" s="120"/>
      <c r="C30" s="120"/>
      <c r="D30" s="120"/>
    </row>
    <row r="31" spans="1:4" ht="15" x14ac:dyDescent="0.2">
      <c r="A31" s="12" t="s">
        <v>266</v>
      </c>
      <c r="B31" s="6"/>
      <c r="C31" s="7">
        <f>Calculator!B47</f>
        <v>0</v>
      </c>
    </row>
    <row r="32" spans="1:4" ht="75" x14ac:dyDescent="0.25">
      <c r="A32" s="86" t="s">
        <v>267</v>
      </c>
      <c r="B32" s="17" t="s">
        <v>190</v>
      </c>
      <c r="C32" s="7">
        <f>Calculator!B48</f>
        <v>0</v>
      </c>
    </row>
    <row r="33" spans="1:6" ht="45" x14ac:dyDescent="0.25">
      <c r="A33" s="4" t="s">
        <v>268</v>
      </c>
      <c r="B33" s="13" t="s">
        <v>190</v>
      </c>
      <c r="C33" s="48">
        <f>'Tables A2, A3, A4'!U5</f>
        <v>0</v>
      </c>
    </row>
    <row r="34" spans="1:6" ht="15" x14ac:dyDescent="0.2">
      <c r="A34" s="12" t="s">
        <v>269</v>
      </c>
      <c r="B34" s="8" t="s">
        <v>197</v>
      </c>
      <c r="C34" s="7">
        <f>SUM(C31:C33)</f>
        <v>0</v>
      </c>
    </row>
    <row r="35" spans="1:6" ht="15" x14ac:dyDescent="0.2">
      <c r="A35" s="12" t="s">
        <v>270</v>
      </c>
      <c r="B35" s="8" t="s">
        <v>228</v>
      </c>
      <c r="C35" s="15">
        <v>0.2</v>
      </c>
    </row>
    <row r="36" spans="1:6" ht="45" x14ac:dyDescent="0.25">
      <c r="A36" s="4" t="s">
        <v>271</v>
      </c>
      <c r="B36" s="13" t="s">
        <v>197</v>
      </c>
      <c r="C36" s="4">
        <f>IF(Calculator!O20="No",0,MAX(0,C35*C34))</f>
        <v>0</v>
      </c>
    </row>
    <row r="37" spans="1:6" ht="15.75" x14ac:dyDescent="0.2">
      <c r="A37" s="120" t="s">
        <v>272</v>
      </c>
      <c r="B37" s="120"/>
      <c r="C37" s="120"/>
      <c r="D37" s="120"/>
    </row>
    <row r="38" spans="1:6" ht="15" x14ac:dyDescent="0.2">
      <c r="A38" s="12" t="s">
        <v>273</v>
      </c>
      <c r="B38" s="6"/>
      <c r="C38" s="48">
        <f>'Formula A-Parents'!C43</f>
        <v>34904.386039999998</v>
      </c>
    </row>
    <row r="39" spans="1:6" ht="15" x14ac:dyDescent="0.2">
      <c r="A39" s="12" t="s">
        <v>274</v>
      </c>
      <c r="B39" s="14" t="s">
        <v>190</v>
      </c>
      <c r="C39" s="7">
        <f>IF(C29&lt;-1500,-1500,C29)</f>
        <v>0</v>
      </c>
    </row>
    <row r="40" spans="1:6" ht="15" x14ac:dyDescent="0.2">
      <c r="A40" s="12" t="s">
        <v>275</v>
      </c>
      <c r="B40" s="8" t="s">
        <v>190</v>
      </c>
      <c r="C40" s="7">
        <f>C36</f>
        <v>0</v>
      </c>
    </row>
    <row r="41" spans="1:6" ht="45" x14ac:dyDescent="0.2">
      <c r="A41" s="4" t="s">
        <v>276</v>
      </c>
      <c r="B41" s="8" t="s">
        <v>197</v>
      </c>
      <c r="C41" s="52">
        <f>MAX(-1500,SUM(C38:C40))</f>
        <v>34904.386039999998</v>
      </c>
      <c r="E41" s="23"/>
      <c r="F41" s="23"/>
    </row>
  </sheetData>
  <mergeCells count="7">
    <mergeCell ref="A30:D30"/>
    <mergeCell ref="A37:D37"/>
    <mergeCell ref="A1:D1"/>
    <mergeCell ref="A2:C2"/>
    <mergeCell ref="A10:C10"/>
    <mergeCell ref="A16:C16"/>
    <mergeCell ref="A24:C24"/>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00B050"/>
  </sheetPr>
  <dimension ref="A1:N30"/>
  <sheetViews>
    <sheetView workbookViewId="0">
      <selection activeCell="G20" sqref="G20"/>
    </sheetView>
  </sheetViews>
  <sheetFormatPr defaultRowHeight="12.75" x14ac:dyDescent="0.2"/>
  <cols>
    <col min="1" max="1" width="24.83203125" customWidth="1"/>
    <col min="2" max="2" width="84.1640625" customWidth="1"/>
    <col min="3" max="4" width="11.33203125" bestFit="1" customWidth="1"/>
    <col min="5" max="5" width="16.83203125" bestFit="1" customWidth="1"/>
    <col min="6" max="6" width="18.1640625" bestFit="1" customWidth="1"/>
    <col min="7" max="7" width="19.6640625" bestFit="1" customWidth="1"/>
    <col min="8" max="8" width="24.33203125" bestFit="1" customWidth="1"/>
    <col min="9" max="9" width="24.33203125" customWidth="1"/>
    <col min="10" max="10" width="16.83203125" bestFit="1" customWidth="1"/>
    <col min="12" max="12" width="11.33203125" bestFit="1" customWidth="1"/>
    <col min="13" max="13" width="12.33203125" bestFit="1" customWidth="1"/>
    <col min="14" max="14" width="10.33203125" bestFit="1" customWidth="1"/>
  </cols>
  <sheetData>
    <row r="1" spans="1:14" ht="41.45" customHeight="1" x14ac:dyDescent="0.2">
      <c r="A1" s="121" t="s">
        <v>277</v>
      </c>
      <c r="B1" s="121"/>
      <c r="C1" s="121"/>
    </row>
    <row r="2" spans="1:14" ht="16.5" customHeight="1" x14ac:dyDescent="0.2">
      <c r="A2" s="3" t="s">
        <v>278</v>
      </c>
      <c r="B2" s="3" t="s">
        <v>279</v>
      </c>
    </row>
    <row r="3" spans="1:14" ht="222" customHeight="1" x14ac:dyDescent="0.2">
      <c r="A3" s="12" t="s">
        <v>280</v>
      </c>
      <c r="B3" s="4" t="s">
        <v>281</v>
      </c>
      <c r="D3">
        <f>10612*1.45%</f>
        <v>153.874</v>
      </c>
    </row>
    <row r="4" spans="1:14" ht="189.2" customHeight="1" x14ac:dyDescent="0.2">
      <c r="A4" s="12" t="s">
        <v>282</v>
      </c>
      <c r="B4" s="86" t="s">
        <v>283</v>
      </c>
    </row>
    <row r="5" spans="1:14" ht="138.6" customHeight="1" x14ac:dyDescent="0.2">
      <c r="A5" s="123" t="s">
        <v>284</v>
      </c>
      <c r="B5" s="121"/>
      <c r="C5" s="121"/>
    </row>
    <row r="6" spans="1:14" x14ac:dyDescent="0.2">
      <c r="A6" s="124" t="s">
        <v>285</v>
      </c>
      <c r="B6" s="124"/>
    </row>
    <row r="7" spans="1:14" x14ac:dyDescent="0.2">
      <c r="A7" s="26" t="s">
        <v>206</v>
      </c>
      <c r="B7" s="26">
        <f>Calculator!B23</f>
        <v>109512</v>
      </c>
      <c r="C7" t="s">
        <v>286</v>
      </c>
      <c r="D7" t="str">
        <f>Calculator!E13</f>
        <v>Single</v>
      </c>
      <c r="E7" t="str">
        <f>Calculator!F13</f>
        <v>Head of Household</v>
      </c>
      <c r="F7" t="str">
        <f>Calculator!G13</f>
        <v>Married filing Jointly</v>
      </c>
      <c r="G7" t="str">
        <f>Calculator!H13</f>
        <v>Married filing Separate</v>
      </c>
      <c r="H7" t="str">
        <f>Calculator!I13</f>
        <v>Qualifying surviving spouse</v>
      </c>
      <c r="I7" t="str">
        <f>Calculator!J13</f>
        <v>Not required to file</v>
      </c>
      <c r="J7" t="s">
        <v>287</v>
      </c>
    </row>
    <row r="8" spans="1:14" x14ac:dyDescent="0.2">
      <c r="A8" s="26" t="s">
        <v>208</v>
      </c>
      <c r="B8" s="26">
        <f>Calculator!B25</f>
        <v>0</v>
      </c>
      <c r="C8" t="s">
        <v>288</v>
      </c>
      <c r="D8" s="22">
        <f>IF(B10&lt;B11,B10*1.45%,((B10-B11)*2.35%)+(B11*1.45%))</f>
        <v>1587.924</v>
      </c>
      <c r="E8" s="22">
        <f>IF(B10&lt;B11,B10*1.45%,((B10-B11)*2.35%)+(B11*1.45%))</f>
        <v>1587.924</v>
      </c>
      <c r="F8" s="22">
        <f>IF(B10&lt;B12,B10*1.45%,(B12*1.45%)+((B10-B12)*2.35%))</f>
        <v>1587.924</v>
      </c>
      <c r="G8" s="22">
        <f>(IF(B7&lt;B13,B7*1.45%,((B7-B13)*2.35%)+(B13*1.45%)))+(IF(B8&lt;B13,B8*1.45%,((B8-B13)*2.35%)+(B13*1.45%)))</f>
        <v>1587.924</v>
      </c>
      <c r="H8" s="22">
        <f>IF(B10&lt;B11,B10*1.45%,((B10-B11)*2.35%)+(B11*1.45%))</f>
        <v>1587.924</v>
      </c>
      <c r="I8" s="22"/>
      <c r="J8">
        <f>IF(B23&lt;B24,B23*1.45%,((B23-B24)*2.35%)+(B24*1.45%))</f>
        <v>0</v>
      </c>
      <c r="L8" s="23"/>
      <c r="M8" s="23"/>
      <c r="N8" s="23"/>
    </row>
    <row r="9" spans="1:14" x14ac:dyDescent="0.2">
      <c r="A9" s="26" t="s">
        <v>289</v>
      </c>
      <c r="B9" s="26" t="str">
        <f>Calculator!B13</f>
        <v>Married filing Jointly</v>
      </c>
      <c r="C9" t="s">
        <v>290</v>
      </c>
      <c r="D9" s="22">
        <f>MIN((B10*B16),B18)</f>
        <v>6789.7439999999997</v>
      </c>
      <c r="E9" s="22">
        <f>MIN((B10*B16),B18)</f>
        <v>6789.7439999999997</v>
      </c>
      <c r="F9" s="22">
        <f>MIN((B10*B16),B20)</f>
        <v>6789.7439999999997</v>
      </c>
      <c r="G9" s="22">
        <f>MIN((B10*B16),B20)</f>
        <v>6789.7439999999997</v>
      </c>
      <c r="H9" s="22">
        <f>MIN((B10*B16),B18)</f>
        <v>6789.7439999999997</v>
      </c>
      <c r="I9" s="22">
        <f>IF(COUNTA(B7:B8)&gt;1,MIN((B10*6.2%),B19),MIN(B20,(B10*6.2%)))</f>
        <v>6789.7439999999997</v>
      </c>
      <c r="J9">
        <f>MIN(B23*6.2%,B29)</f>
        <v>0</v>
      </c>
    </row>
    <row r="10" spans="1:14" x14ac:dyDescent="0.2">
      <c r="A10" s="26" t="s">
        <v>291</v>
      </c>
      <c r="B10" s="27">
        <f>B7+B8</f>
        <v>109512</v>
      </c>
      <c r="L10" s="23"/>
    </row>
    <row r="11" spans="1:14" x14ac:dyDescent="0.2">
      <c r="A11" s="26" t="s">
        <v>292</v>
      </c>
      <c r="B11" s="37">
        <v>200000</v>
      </c>
      <c r="L11" s="23"/>
    </row>
    <row r="12" spans="1:14" x14ac:dyDescent="0.2">
      <c r="A12" s="26" t="s">
        <v>293</v>
      </c>
      <c r="B12" s="37">
        <v>250000</v>
      </c>
      <c r="L12" s="23"/>
      <c r="N12" s="23"/>
    </row>
    <row r="13" spans="1:14" x14ac:dyDescent="0.2">
      <c r="A13" s="26" t="s">
        <v>294</v>
      </c>
      <c r="B13" s="37">
        <v>125000</v>
      </c>
      <c r="L13" s="23"/>
    </row>
    <row r="14" spans="1:14" x14ac:dyDescent="0.2">
      <c r="A14" s="26" t="s">
        <v>295</v>
      </c>
      <c r="B14" s="27">
        <f>HLOOKUP(B9,D7:H8,2,FALSE)</f>
        <v>1587.924</v>
      </c>
    </row>
    <row r="15" spans="1:14" x14ac:dyDescent="0.2">
      <c r="A15" s="122" t="s">
        <v>296</v>
      </c>
      <c r="B15" s="122"/>
    </row>
    <row r="16" spans="1:14" x14ac:dyDescent="0.2">
      <c r="A16" s="28" t="s">
        <v>297</v>
      </c>
      <c r="B16" s="38">
        <v>6.2E-2</v>
      </c>
    </row>
    <row r="17" spans="1:3" x14ac:dyDescent="0.2">
      <c r="A17" s="28" t="s">
        <v>298</v>
      </c>
      <c r="B17" s="36">
        <v>168600</v>
      </c>
    </row>
    <row r="18" spans="1:3" x14ac:dyDescent="0.2">
      <c r="A18" s="28" t="s">
        <v>299</v>
      </c>
      <c r="B18" s="36">
        <f>B16*B17</f>
        <v>10453.200000000001</v>
      </c>
    </row>
    <row r="19" spans="1:3" x14ac:dyDescent="0.2">
      <c r="A19" s="28" t="s">
        <v>300</v>
      </c>
      <c r="B19" s="36">
        <v>337200</v>
      </c>
    </row>
    <row r="20" spans="1:3" x14ac:dyDescent="0.2">
      <c r="A20" s="28" t="s">
        <v>301</v>
      </c>
      <c r="B20" s="36">
        <f>B16*B19</f>
        <v>20906.400000000001</v>
      </c>
    </row>
    <row r="21" spans="1:3" x14ac:dyDescent="0.2">
      <c r="A21" s="28" t="s">
        <v>302</v>
      </c>
      <c r="B21" s="28">
        <f>HLOOKUP(B9,D7:H9,3,FALSE)</f>
        <v>6789.7439999999997</v>
      </c>
      <c r="C21" s="23"/>
    </row>
    <row r="22" spans="1:3" x14ac:dyDescent="0.2">
      <c r="A22" s="124" t="s">
        <v>303</v>
      </c>
      <c r="B22" s="124"/>
    </row>
    <row r="23" spans="1:3" x14ac:dyDescent="0.2">
      <c r="A23" s="26" t="s">
        <v>36</v>
      </c>
      <c r="B23" s="27">
        <f>Calculator!B42</f>
        <v>0</v>
      </c>
    </row>
    <row r="24" spans="1:3" x14ac:dyDescent="0.2">
      <c r="A24" s="26" t="s">
        <v>304</v>
      </c>
      <c r="B24" s="27">
        <v>200000</v>
      </c>
    </row>
    <row r="25" spans="1:3" x14ac:dyDescent="0.2">
      <c r="A25" s="26" t="s">
        <v>295</v>
      </c>
      <c r="B25" s="27">
        <f>J8</f>
        <v>0</v>
      </c>
    </row>
    <row r="26" spans="1:3" x14ac:dyDescent="0.2">
      <c r="A26" s="122" t="s">
        <v>305</v>
      </c>
      <c r="B26" s="122"/>
    </row>
    <row r="27" spans="1:3" x14ac:dyDescent="0.2">
      <c r="A27" s="28" t="s">
        <v>297</v>
      </c>
      <c r="B27" s="29">
        <v>6.2E-2</v>
      </c>
    </row>
    <row r="28" spans="1:3" x14ac:dyDescent="0.2">
      <c r="A28" s="28" t="s">
        <v>306</v>
      </c>
      <c r="B28" s="51">
        <v>168600</v>
      </c>
    </row>
    <row r="29" spans="1:3" x14ac:dyDescent="0.2">
      <c r="A29" s="28" t="s">
        <v>307</v>
      </c>
      <c r="B29" s="51">
        <v>10453</v>
      </c>
    </row>
    <row r="30" spans="1:3" x14ac:dyDescent="0.2">
      <c r="A30" s="28" t="s">
        <v>302</v>
      </c>
      <c r="B30" s="28">
        <f>J9</f>
        <v>0</v>
      </c>
    </row>
  </sheetData>
  <mergeCells count="6">
    <mergeCell ref="A26:B26"/>
    <mergeCell ref="A1:C1"/>
    <mergeCell ref="A5:C5"/>
    <mergeCell ref="A6:B6"/>
    <mergeCell ref="A15:B15"/>
    <mergeCell ref="A22:B22"/>
  </mergeCells>
  <hyperlinks>
    <hyperlink ref="A5" r:id="rId1" display="https://www.ssa.gov/oact/cola/cbb.html" xr:uid="{00000000-0004-0000-0A00-00000000000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rgb="FF00B050"/>
  </sheetPr>
  <dimension ref="A1:V57"/>
  <sheetViews>
    <sheetView workbookViewId="0">
      <selection activeCell="P16" sqref="P16"/>
    </sheetView>
  </sheetViews>
  <sheetFormatPr defaultRowHeight="12.75" x14ac:dyDescent="0.2"/>
  <cols>
    <col min="1" max="6" width="18" customWidth="1"/>
    <col min="7" max="7" width="2.6640625" customWidth="1"/>
    <col min="13" max="13" width="37.33203125" bestFit="1" customWidth="1"/>
    <col min="15" max="15" width="12.83203125" customWidth="1"/>
    <col min="16" max="16" width="14" bestFit="1" customWidth="1"/>
    <col min="17" max="17" width="9.83203125" bestFit="1" customWidth="1"/>
    <col min="18" max="19" width="13" bestFit="1" customWidth="1"/>
    <col min="20" max="20" width="37.6640625" bestFit="1" customWidth="1"/>
    <col min="21" max="21" width="12.33203125" bestFit="1" customWidth="1"/>
    <col min="22" max="22" width="11.33203125" bestFit="1" customWidth="1"/>
  </cols>
  <sheetData>
    <row r="1" spans="1:22" ht="18" customHeight="1" x14ac:dyDescent="0.2">
      <c r="A1" s="120" t="s">
        <v>308</v>
      </c>
      <c r="B1" s="120"/>
      <c r="C1" s="120"/>
      <c r="D1" s="120"/>
      <c r="E1" s="120"/>
      <c r="F1" s="120"/>
      <c r="G1" s="120"/>
      <c r="L1" s="125" t="s">
        <v>309</v>
      </c>
      <c r="M1" s="126"/>
      <c r="O1" s="87" t="s">
        <v>310</v>
      </c>
      <c r="P1" s="87"/>
    </row>
    <row r="2" spans="1:22" ht="16.5" customHeight="1" x14ac:dyDescent="0.2">
      <c r="A2" s="137" t="s">
        <v>311</v>
      </c>
      <c r="B2" s="138"/>
      <c r="C2" s="139"/>
      <c r="D2" s="137" t="s">
        <v>312</v>
      </c>
      <c r="E2" s="138"/>
      <c r="F2" s="139"/>
      <c r="L2" s="31" t="s">
        <v>311</v>
      </c>
      <c r="M2" s="31" t="s">
        <v>312</v>
      </c>
      <c r="O2" s="87" t="s">
        <v>313</v>
      </c>
      <c r="P2" s="87"/>
      <c r="Q2" s="87" t="s">
        <v>314</v>
      </c>
      <c r="R2" s="87" t="s">
        <v>315</v>
      </c>
      <c r="S2" s="87" t="s">
        <v>316</v>
      </c>
      <c r="T2" t="s">
        <v>317</v>
      </c>
      <c r="U2" s="22">
        <f>Calculator!B30</f>
        <v>0</v>
      </c>
    </row>
    <row r="3" spans="1:22" ht="16.5" customHeight="1" x14ac:dyDescent="0.2">
      <c r="A3" s="130">
        <v>2</v>
      </c>
      <c r="B3" s="131"/>
      <c r="C3" s="132"/>
      <c r="D3" s="133">
        <v>29190</v>
      </c>
      <c r="E3" s="134"/>
      <c r="F3" s="135"/>
      <c r="L3" s="32">
        <v>2</v>
      </c>
      <c r="M3" s="33">
        <f>D3</f>
        <v>29190</v>
      </c>
      <c r="O3" s="25">
        <v>0</v>
      </c>
      <c r="P3" s="25">
        <v>1</v>
      </c>
      <c r="Q3" s="34">
        <v>0</v>
      </c>
      <c r="R3" s="22">
        <v>0</v>
      </c>
      <c r="S3" s="22">
        <v>0</v>
      </c>
      <c r="T3" t="s">
        <v>318</v>
      </c>
      <c r="U3" s="23">
        <f>(VLOOKUP(U2,O3:S8,5,TRUE))+(U2-(VLOOKUP(U2,O3:S8,4,TRUE)))*(VLOOKUP(U2,O3:S8,3,TRUE))</f>
        <v>0</v>
      </c>
      <c r="V3" s="23"/>
    </row>
    <row r="4" spans="1:22" ht="16.5" customHeight="1" x14ac:dyDescent="0.2">
      <c r="A4" s="130">
        <v>3</v>
      </c>
      <c r="B4" s="131"/>
      <c r="C4" s="132"/>
      <c r="D4" s="133">
        <v>36330</v>
      </c>
      <c r="E4" s="134"/>
      <c r="F4" s="135"/>
      <c r="L4" s="32">
        <v>3</v>
      </c>
      <c r="M4" s="33">
        <f t="shared" ref="M4:M7" si="0">D4</f>
        <v>36330</v>
      </c>
      <c r="O4" s="25">
        <v>1</v>
      </c>
      <c r="P4" s="106">
        <v>175000</v>
      </c>
      <c r="Q4" s="34">
        <v>0.4</v>
      </c>
      <c r="R4" s="22">
        <v>0</v>
      </c>
      <c r="S4" s="22">
        <v>0</v>
      </c>
      <c r="T4" t="s">
        <v>319</v>
      </c>
      <c r="U4" s="23">
        <f>Calculator!B49</f>
        <v>0</v>
      </c>
    </row>
    <row r="5" spans="1:22" ht="16.5" customHeight="1" x14ac:dyDescent="0.2">
      <c r="A5" s="130">
        <v>4</v>
      </c>
      <c r="B5" s="131"/>
      <c r="C5" s="132"/>
      <c r="D5" s="133">
        <v>44880</v>
      </c>
      <c r="E5" s="134"/>
      <c r="F5" s="135"/>
      <c r="L5" s="32">
        <v>4</v>
      </c>
      <c r="M5" s="33">
        <f t="shared" si="0"/>
        <v>44880</v>
      </c>
      <c r="O5" s="25">
        <f>P4+1</f>
        <v>175001</v>
      </c>
      <c r="P5" s="106">
        <v>520000</v>
      </c>
      <c r="Q5" s="34">
        <v>0.5</v>
      </c>
      <c r="R5" s="22">
        <f>P4</f>
        <v>175000</v>
      </c>
      <c r="S5" s="37">
        <v>70000</v>
      </c>
      <c r="T5" t="s">
        <v>320</v>
      </c>
      <c r="U5" s="23">
        <f>(VLOOKUP(U4,O3:S8,5,TRUE))+(U4-(VLOOKUP(U4,O3:S8,4,TRUE)))*(VLOOKUP(U4,O3:S8,3,TRUE))</f>
        <v>0</v>
      </c>
    </row>
    <row r="6" spans="1:22" ht="16.5" customHeight="1" x14ac:dyDescent="0.2">
      <c r="A6" s="130">
        <v>5</v>
      </c>
      <c r="B6" s="131"/>
      <c r="C6" s="132"/>
      <c r="D6" s="133">
        <v>52950</v>
      </c>
      <c r="E6" s="134"/>
      <c r="F6" s="135"/>
      <c r="L6" s="32">
        <v>5</v>
      </c>
      <c r="M6" s="33">
        <f t="shared" si="0"/>
        <v>52950</v>
      </c>
      <c r="O6" s="25">
        <f>P5+1</f>
        <v>520001</v>
      </c>
      <c r="P6" s="106">
        <v>870000</v>
      </c>
      <c r="Q6" s="34">
        <v>0.6</v>
      </c>
      <c r="R6" s="22">
        <f t="shared" ref="R6:R7" si="1">P5</f>
        <v>520000</v>
      </c>
      <c r="S6" s="37">
        <v>242500</v>
      </c>
      <c r="U6" s="23"/>
    </row>
    <row r="7" spans="1:22" ht="16.5" customHeight="1" x14ac:dyDescent="0.2">
      <c r="A7" s="130">
        <v>6</v>
      </c>
      <c r="B7" s="131"/>
      <c r="C7" s="132"/>
      <c r="D7" s="133">
        <v>61930</v>
      </c>
      <c r="E7" s="134"/>
      <c r="F7" s="135"/>
      <c r="L7" s="32">
        <v>6</v>
      </c>
      <c r="M7" s="33">
        <f t="shared" si="0"/>
        <v>61930</v>
      </c>
      <c r="O7" s="25">
        <f>P6+1</f>
        <v>870001</v>
      </c>
      <c r="P7" s="25">
        <v>999999999</v>
      </c>
      <c r="Q7" s="34">
        <v>1</v>
      </c>
      <c r="R7" s="22">
        <f t="shared" si="1"/>
        <v>870000</v>
      </c>
      <c r="S7" s="37">
        <v>452500</v>
      </c>
      <c r="U7" s="23"/>
    </row>
    <row r="8" spans="1:22" ht="35.1" customHeight="1" x14ac:dyDescent="0.2">
      <c r="A8" s="136" t="s">
        <v>321</v>
      </c>
      <c r="B8" s="121"/>
      <c r="C8" s="121"/>
      <c r="D8" s="121"/>
      <c r="E8" s="121"/>
      <c r="F8" s="121"/>
      <c r="G8" s="121"/>
      <c r="L8" s="32">
        <v>7</v>
      </c>
      <c r="M8" s="39">
        <f>M6+6990</f>
        <v>59940</v>
      </c>
    </row>
    <row r="9" spans="1:22" ht="16.5" customHeight="1" x14ac:dyDescent="0.2">
      <c r="A9" s="137" t="s">
        <v>322</v>
      </c>
      <c r="B9" s="138"/>
      <c r="C9" s="139"/>
      <c r="D9" s="137" t="s">
        <v>323</v>
      </c>
      <c r="E9" s="138"/>
      <c r="F9" s="139"/>
      <c r="L9" s="32">
        <v>8</v>
      </c>
      <c r="M9" s="39">
        <f t="shared" ref="M9:M21" si="2">M7+6990</f>
        <v>68920</v>
      </c>
    </row>
    <row r="10" spans="1:22" ht="16.5" customHeight="1" x14ac:dyDescent="0.2">
      <c r="A10" s="127" t="s">
        <v>324</v>
      </c>
      <c r="B10" s="128"/>
      <c r="C10" s="129"/>
      <c r="D10" s="140">
        <v>0</v>
      </c>
      <c r="E10" s="141"/>
      <c r="F10" s="142"/>
      <c r="L10" s="32">
        <v>9</v>
      </c>
      <c r="M10" s="39">
        <f t="shared" si="2"/>
        <v>66930</v>
      </c>
    </row>
    <row r="11" spans="1:22" ht="16.5" customHeight="1" x14ac:dyDescent="0.2">
      <c r="A11" s="127" t="s">
        <v>325</v>
      </c>
      <c r="B11" s="128"/>
      <c r="C11" s="129"/>
      <c r="D11" s="127" t="s">
        <v>326</v>
      </c>
      <c r="E11" s="128"/>
      <c r="F11" s="129"/>
      <c r="L11" s="32">
        <v>10</v>
      </c>
      <c r="M11" s="39">
        <f t="shared" si="2"/>
        <v>75910</v>
      </c>
    </row>
    <row r="12" spans="1:22" ht="16.5" customHeight="1" x14ac:dyDescent="0.2">
      <c r="A12" s="127" t="s">
        <v>327</v>
      </c>
      <c r="B12" s="128"/>
      <c r="C12" s="129"/>
      <c r="D12" s="127" t="s">
        <v>328</v>
      </c>
      <c r="E12" s="128"/>
      <c r="F12" s="129"/>
      <c r="L12" s="32">
        <v>11</v>
      </c>
      <c r="M12" s="39">
        <f t="shared" si="2"/>
        <v>73920</v>
      </c>
    </row>
    <row r="13" spans="1:22" ht="16.5" customHeight="1" x14ac:dyDescent="0.2">
      <c r="A13" s="127" t="s">
        <v>329</v>
      </c>
      <c r="B13" s="128"/>
      <c r="C13" s="129"/>
      <c r="D13" s="127" t="s">
        <v>330</v>
      </c>
      <c r="E13" s="128"/>
      <c r="F13" s="129"/>
      <c r="L13" s="32">
        <v>12</v>
      </c>
      <c r="M13" s="39">
        <f t="shared" si="2"/>
        <v>82900</v>
      </c>
    </row>
    <row r="14" spans="1:22" ht="16.5" customHeight="1" x14ac:dyDescent="0.2">
      <c r="A14" s="127" t="s">
        <v>331</v>
      </c>
      <c r="B14" s="128"/>
      <c r="C14" s="129"/>
      <c r="D14" s="127" t="s">
        <v>332</v>
      </c>
      <c r="E14" s="128"/>
      <c r="F14" s="129"/>
      <c r="L14" s="32">
        <v>13</v>
      </c>
      <c r="M14" s="39">
        <f t="shared" si="2"/>
        <v>80910</v>
      </c>
    </row>
    <row r="15" spans="1:22" ht="18" customHeight="1" x14ac:dyDescent="0.2">
      <c r="A15" s="120" t="s">
        <v>333</v>
      </c>
      <c r="B15" s="120"/>
      <c r="C15" s="120"/>
      <c r="D15" s="120"/>
      <c r="E15" s="120"/>
      <c r="F15" s="120"/>
      <c r="G15" s="120"/>
      <c r="L15" s="32">
        <v>14</v>
      </c>
      <c r="M15" s="39">
        <f t="shared" si="2"/>
        <v>89890</v>
      </c>
    </row>
    <row r="16" spans="1:22" ht="49.35" customHeight="1" x14ac:dyDescent="0.2">
      <c r="A16" s="3" t="s">
        <v>334</v>
      </c>
      <c r="B16" s="3" t="s">
        <v>335</v>
      </c>
      <c r="C16" s="3" t="s">
        <v>336</v>
      </c>
      <c r="D16" t="s">
        <v>337</v>
      </c>
      <c r="E16" s="47">
        <f>Calculator!E6</f>
        <v>49</v>
      </c>
      <c r="F16" t="s">
        <v>338</v>
      </c>
      <c r="G16">
        <f>Calculator!E7</f>
        <v>2</v>
      </c>
      <c r="L16" s="32">
        <v>15</v>
      </c>
      <c r="M16" s="39">
        <f t="shared" si="2"/>
        <v>87900</v>
      </c>
    </row>
    <row r="17" spans="1:13" ht="16.5" customHeight="1" x14ac:dyDescent="0.2">
      <c r="A17" s="12">
        <v>0</v>
      </c>
      <c r="B17" s="107">
        <v>0</v>
      </c>
      <c r="C17" s="107">
        <v>0</v>
      </c>
      <c r="D17">
        <f>VLOOKUP(E16,A17:C57,IF(G16=2,2,3),TRUE)</f>
        <v>0</v>
      </c>
      <c r="L17" s="32">
        <v>16</v>
      </c>
      <c r="M17" s="39">
        <f t="shared" si="2"/>
        <v>96880</v>
      </c>
    </row>
    <row r="18" spans="1:13" ht="16.5" customHeight="1" x14ac:dyDescent="0.2">
      <c r="A18" s="18">
        <v>26</v>
      </c>
      <c r="B18" s="107">
        <v>0</v>
      </c>
      <c r="C18" s="107">
        <v>0</v>
      </c>
      <c r="L18" s="32">
        <v>17</v>
      </c>
      <c r="M18" s="39">
        <f t="shared" si="2"/>
        <v>94890</v>
      </c>
    </row>
    <row r="19" spans="1:13" ht="16.5" customHeight="1" x14ac:dyDescent="0.2">
      <c r="A19" s="18">
        <v>27</v>
      </c>
      <c r="B19" s="107">
        <v>0</v>
      </c>
      <c r="C19" s="107">
        <v>0</v>
      </c>
      <c r="L19" s="32">
        <v>18</v>
      </c>
      <c r="M19" s="39">
        <f t="shared" si="2"/>
        <v>103870</v>
      </c>
    </row>
    <row r="20" spans="1:13" ht="16.5" customHeight="1" x14ac:dyDescent="0.2">
      <c r="A20" s="18">
        <v>28</v>
      </c>
      <c r="B20" s="107">
        <v>0</v>
      </c>
      <c r="C20" s="107">
        <v>0</v>
      </c>
      <c r="L20" s="32">
        <v>19</v>
      </c>
      <c r="M20" s="39">
        <f t="shared" si="2"/>
        <v>101880</v>
      </c>
    </row>
    <row r="21" spans="1:13" ht="16.5" customHeight="1" x14ac:dyDescent="0.2">
      <c r="A21" s="18">
        <v>29</v>
      </c>
      <c r="B21" s="107">
        <v>0</v>
      </c>
      <c r="C21" s="107">
        <v>0</v>
      </c>
      <c r="L21" s="32">
        <v>20</v>
      </c>
      <c r="M21" s="39">
        <f t="shared" si="2"/>
        <v>110860</v>
      </c>
    </row>
    <row r="22" spans="1:13" ht="16.5" customHeight="1" x14ac:dyDescent="0.2">
      <c r="A22" s="18">
        <v>30</v>
      </c>
      <c r="B22" s="107">
        <v>0</v>
      </c>
      <c r="C22" s="107">
        <v>0</v>
      </c>
    </row>
    <row r="23" spans="1:13" ht="16.5" customHeight="1" x14ac:dyDescent="0.2">
      <c r="A23" s="18">
        <v>31</v>
      </c>
      <c r="B23" s="107">
        <v>0</v>
      </c>
      <c r="C23" s="107">
        <v>0</v>
      </c>
    </row>
    <row r="24" spans="1:13" ht="16.5" customHeight="1" x14ac:dyDescent="0.2">
      <c r="A24" s="18">
        <v>32</v>
      </c>
      <c r="B24" s="107">
        <v>0</v>
      </c>
      <c r="C24" s="107">
        <v>0</v>
      </c>
    </row>
    <row r="25" spans="1:13" ht="16.5" customHeight="1" x14ac:dyDescent="0.2">
      <c r="A25" s="18">
        <v>33</v>
      </c>
      <c r="B25" s="107">
        <v>0</v>
      </c>
      <c r="C25" s="107">
        <v>0</v>
      </c>
    </row>
    <row r="26" spans="1:13" ht="16.5" customHeight="1" x14ac:dyDescent="0.2">
      <c r="A26" s="18">
        <v>34</v>
      </c>
      <c r="B26" s="107">
        <v>0</v>
      </c>
      <c r="C26" s="107">
        <v>0</v>
      </c>
    </row>
    <row r="27" spans="1:13" ht="16.5" customHeight="1" x14ac:dyDescent="0.2">
      <c r="A27" s="18">
        <v>35</v>
      </c>
      <c r="B27" s="107">
        <v>0</v>
      </c>
      <c r="C27" s="107">
        <v>0</v>
      </c>
    </row>
    <row r="28" spans="1:13" ht="16.5" customHeight="1" x14ac:dyDescent="0.2">
      <c r="A28" s="18">
        <v>36</v>
      </c>
      <c r="B28" s="107">
        <v>0</v>
      </c>
      <c r="C28" s="107">
        <v>0</v>
      </c>
    </row>
    <row r="29" spans="1:13" ht="16.5" customHeight="1" x14ac:dyDescent="0.2">
      <c r="A29" s="18">
        <v>37</v>
      </c>
      <c r="B29" s="107">
        <v>0</v>
      </c>
      <c r="C29" s="107">
        <v>0</v>
      </c>
    </row>
    <row r="30" spans="1:13" ht="16.5" customHeight="1" x14ac:dyDescent="0.2">
      <c r="A30" s="18">
        <v>38</v>
      </c>
      <c r="B30" s="107">
        <v>0</v>
      </c>
      <c r="C30" s="107">
        <v>0</v>
      </c>
    </row>
    <row r="31" spans="1:13" ht="16.5" customHeight="1" x14ac:dyDescent="0.2">
      <c r="A31" s="18">
        <v>39</v>
      </c>
      <c r="B31" s="107">
        <v>0</v>
      </c>
      <c r="C31" s="107">
        <v>0</v>
      </c>
    </row>
    <row r="32" spans="1:13" ht="16.5" customHeight="1" x14ac:dyDescent="0.2">
      <c r="A32" s="18">
        <v>40</v>
      </c>
      <c r="B32" s="107">
        <v>0</v>
      </c>
      <c r="C32" s="107">
        <v>0</v>
      </c>
    </row>
    <row r="33" spans="1:3" ht="16.5" customHeight="1" x14ac:dyDescent="0.2">
      <c r="A33" s="18">
        <v>41</v>
      </c>
      <c r="B33" s="107">
        <v>0</v>
      </c>
      <c r="C33" s="107">
        <v>0</v>
      </c>
    </row>
    <row r="34" spans="1:3" ht="16.5" customHeight="1" x14ac:dyDescent="0.2">
      <c r="A34" s="18">
        <v>42</v>
      </c>
      <c r="B34" s="107">
        <v>0</v>
      </c>
      <c r="C34" s="107">
        <v>0</v>
      </c>
    </row>
    <row r="35" spans="1:3" ht="16.5" customHeight="1" x14ac:dyDescent="0.2">
      <c r="A35" s="18">
        <v>43</v>
      </c>
      <c r="B35" s="107">
        <v>0</v>
      </c>
      <c r="C35" s="107">
        <v>0</v>
      </c>
    </row>
    <row r="36" spans="1:3" ht="16.5" customHeight="1" x14ac:dyDescent="0.2">
      <c r="A36" s="18">
        <v>44</v>
      </c>
      <c r="B36" s="107">
        <v>0</v>
      </c>
      <c r="C36" s="107">
        <v>0</v>
      </c>
    </row>
    <row r="37" spans="1:3" ht="16.5" customHeight="1" x14ac:dyDescent="0.2">
      <c r="A37" s="18">
        <v>45</v>
      </c>
      <c r="B37" s="107">
        <v>0</v>
      </c>
      <c r="C37" s="107">
        <v>0</v>
      </c>
    </row>
    <row r="38" spans="1:3" ht="15" x14ac:dyDescent="0.2">
      <c r="A38" s="18">
        <v>46</v>
      </c>
      <c r="B38" s="107">
        <v>0</v>
      </c>
      <c r="C38" s="107">
        <v>0</v>
      </c>
    </row>
    <row r="39" spans="1:3" ht="15" x14ac:dyDescent="0.2">
      <c r="A39" s="18">
        <v>47</v>
      </c>
      <c r="B39" s="107">
        <v>0</v>
      </c>
      <c r="C39" s="107">
        <v>0</v>
      </c>
    </row>
    <row r="40" spans="1:3" ht="15" x14ac:dyDescent="0.2">
      <c r="A40" s="18">
        <v>48</v>
      </c>
      <c r="B40" s="107">
        <v>0</v>
      </c>
      <c r="C40" s="107">
        <v>0</v>
      </c>
    </row>
    <row r="41" spans="1:3" ht="15" x14ac:dyDescent="0.2">
      <c r="A41" s="18">
        <v>49</v>
      </c>
      <c r="B41" s="107">
        <v>0</v>
      </c>
      <c r="C41" s="107">
        <v>0</v>
      </c>
    </row>
    <row r="42" spans="1:3" ht="15" x14ac:dyDescent="0.2">
      <c r="A42" s="18">
        <v>50</v>
      </c>
      <c r="B42" s="107">
        <v>0</v>
      </c>
      <c r="C42" s="107">
        <v>0</v>
      </c>
    </row>
    <row r="43" spans="1:3" ht="15" x14ac:dyDescent="0.2">
      <c r="A43" s="18">
        <v>51</v>
      </c>
      <c r="B43" s="107">
        <v>0</v>
      </c>
      <c r="C43" s="107">
        <v>0</v>
      </c>
    </row>
    <row r="44" spans="1:3" ht="15" x14ac:dyDescent="0.2">
      <c r="A44" s="18">
        <v>52</v>
      </c>
      <c r="B44" s="107">
        <v>0</v>
      </c>
      <c r="C44" s="107">
        <v>0</v>
      </c>
    </row>
    <row r="45" spans="1:3" ht="15" x14ac:dyDescent="0.2">
      <c r="A45" s="18">
        <v>53</v>
      </c>
      <c r="B45" s="107">
        <v>0</v>
      </c>
      <c r="C45" s="107">
        <v>0</v>
      </c>
    </row>
    <row r="46" spans="1:3" ht="15" x14ac:dyDescent="0.2">
      <c r="A46" s="18">
        <v>54</v>
      </c>
      <c r="B46" s="107">
        <v>0</v>
      </c>
      <c r="C46" s="107">
        <v>0</v>
      </c>
    </row>
    <row r="47" spans="1:3" ht="15" x14ac:dyDescent="0.2">
      <c r="A47" s="18">
        <v>55</v>
      </c>
      <c r="B47" s="107">
        <v>0</v>
      </c>
      <c r="C47" s="107">
        <v>0</v>
      </c>
    </row>
    <row r="48" spans="1:3" ht="15" x14ac:dyDescent="0.2">
      <c r="A48" s="18">
        <v>56</v>
      </c>
      <c r="B48" s="107">
        <v>0</v>
      </c>
      <c r="C48" s="107">
        <v>0</v>
      </c>
    </row>
    <row r="49" spans="1:3" ht="15" x14ac:dyDescent="0.2">
      <c r="A49" s="18">
        <v>57</v>
      </c>
      <c r="B49" s="107">
        <v>0</v>
      </c>
      <c r="C49" s="107">
        <v>0</v>
      </c>
    </row>
    <row r="50" spans="1:3" ht="15" x14ac:dyDescent="0.2">
      <c r="A50" s="18">
        <v>58</v>
      </c>
      <c r="B50" s="107">
        <v>0</v>
      </c>
      <c r="C50" s="107">
        <v>0</v>
      </c>
    </row>
    <row r="51" spans="1:3" ht="15" x14ac:dyDescent="0.2">
      <c r="A51" s="18">
        <v>59</v>
      </c>
      <c r="B51" s="107">
        <v>0</v>
      </c>
      <c r="C51" s="107">
        <v>0</v>
      </c>
    </row>
    <row r="52" spans="1:3" ht="15" x14ac:dyDescent="0.2">
      <c r="A52" s="18">
        <v>60</v>
      </c>
      <c r="B52" s="107">
        <v>0</v>
      </c>
      <c r="C52" s="107">
        <v>0</v>
      </c>
    </row>
    <row r="53" spans="1:3" ht="15" x14ac:dyDescent="0.2">
      <c r="A53" s="18">
        <v>61</v>
      </c>
      <c r="B53" s="107">
        <v>0</v>
      </c>
      <c r="C53" s="107">
        <v>0</v>
      </c>
    </row>
    <row r="54" spans="1:3" ht="15" x14ac:dyDescent="0.2">
      <c r="A54" s="18">
        <v>62</v>
      </c>
      <c r="B54" s="107">
        <v>0</v>
      </c>
      <c r="C54" s="107">
        <v>0</v>
      </c>
    </row>
    <row r="55" spans="1:3" ht="15" x14ac:dyDescent="0.2">
      <c r="A55" s="18">
        <v>63</v>
      </c>
      <c r="B55" s="107">
        <v>0</v>
      </c>
      <c r="C55" s="107">
        <v>0</v>
      </c>
    </row>
    <row r="56" spans="1:3" ht="15" x14ac:dyDescent="0.2">
      <c r="A56" s="18">
        <v>64</v>
      </c>
      <c r="B56" s="107">
        <v>0</v>
      </c>
      <c r="C56" s="107">
        <v>0</v>
      </c>
    </row>
    <row r="57" spans="1:3" ht="15" x14ac:dyDescent="0.2">
      <c r="A57" s="12">
        <v>65</v>
      </c>
      <c r="B57" s="107">
        <v>0</v>
      </c>
      <c r="C57" s="107">
        <v>0</v>
      </c>
    </row>
  </sheetData>
  <sheetProtection sheet="1" objects="1" scenarios="1"/>
  <mergeCells count="28">
    <mergeCell ref="A1:G1"/>
    <mergeCell ref="A2:C2"/>
    <mergeCell ref="D2:F2"/>
    <mergeCell ref="A3:C3"/>
    <mergeCell ref="D3:F3"/>
    <mergeCell ref="A15:G15"/>
    <mergeCell ref="A10:C10"/>
    <mergeCell ref="D10:F10"/>
    <mergeCell ref="A11:C11"/>
    <mergeCell ref="D11:F11"/>
    <mergeCell ref="A12:C12"/>
    <mergeCell ref="D12:F12"/>
    <mergeCell ref="L1:M1"/>
    <mergeCell ref="A13:C13"/>
    <mergeCell ref="D13:F13"/>
    <mergeCell ref="A14:C14"/>
    <mergeCell ref="D14:F14"/>
    <mergeCell ref="A7:C7"/>
    <mergeCell ref="D7:F7"/>
    <mergeCell ref="A8:G8"/>
    <mergeCell ref="A9:C9"/>
    <mergeCell ref="D9:F9"/>
    <mergeCell ref="A4:C4"/>
    <mergeCell ref="D4:F4"/>
    <mergeCell ref="A5:C5"/>
    <mergeCell ref="D5:F5"/>
    <mergeCell ref="A6:C6"/>
    <mergeCell ref="D6:F6"/>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tabColor rgb="FF00B050"/>
  </sheetPr>
  <dimension ref="A1:O9"/>
  <sheetViews>
    <sheetView workbookViewId="0">
      <selection activeCell="A3" sqref="A3:B9"/>
    </sheetView>
  </sheetViews>
  <sheetFormatPr defaultRowHeight="12.75" x14ac:dyDescent="0.2"/>
  <cols>
    <col min="1" max="2" width="54.33203125" customWidth="1"/>
    <col min="3" max="3" width="2.6640625" customWidth="1"/>
    <col min="5" max="5" width="14.1640625" bestFit="1" customWidth="1"/>
    <col min="6" max="6" width="13.33203125" bestFit="1" customWidth="1"/>
    <col min="7" max="7" width="4.6640625" bestFit="1" customWidth="1"/>
    <col min="8" max="8" width="13" bestFit="1" customWidth="1"/>
    <col min="9" max="9" width="9" bestFit="1" customWidth="1"/>
    <col min="10" max="10" width="8.5" bestFit="1" customWidth="1"/>
    <col min="11" max="11" width="8.5" customWidth="1"/>
    <col min="12" max="12" width="16.83203125" bestFit="1" customWidth="1"/>
    <col min="13" max="13" width="12.1640625" bestFit="1" customWidth="1"/>
    <col min="14" max="15" width="10.33203125" bestFit="1" customWidth="1"/>
  </cols>
  <sheetData>
    <row r="1" spans="1:15" ht="20.45" customHeight="1" x14ac:dyDescent="0.2">
      <c r="A1" s="143" t="s">
        <v>339</v>
      </c>
      <c r="B1" s="143"/>
      <c r="C1" s="49"/>
      <c r="E1" t="s">
        <v>340</v>
      </c>
      <c r="F1" t="s">
        <v>341</v>
      </c>
      <c r="G1" t="s">
        <v>342</v>
      </c>
      <c r="H1" t="s">
        <v>343</v>
      </c>
      <c r="I1" t="s">
        <v>316</v>
      </c>
      <c r="J1" t="s">
        <v>344</v>
      </c>
      <c r="L1" t="s">
        <v>345</v>
      </c>
      <c r="M1" s="22">
        <f>'Formula A-Parents'!C41</f>
        <v>92909.331999999995</v>
      </c>
    </row>
    <row r="2" spans="1:15" ht="16.5" customHeight="1" x14ac:dyDescent="0.2">
      <c r="A2" s="50" t="s">
        <v>346</v>
      </c>
      <c r="B2" s="50" t="s">
        <v>347</v>
      </c>
      <c r="E2" s="25">
        <v>-999999999</v>
      </c>
      <c r="F2" s="106">
        <v>-8500</v>
      </c>
      <c r="H2" s="25"/>
      <c r="I2" s="25"/>
      <c r="J2" s="25">
        <v>-1826</v>
      </c>
      <c r="K2" s="25"/>
      <c r="L2" t="s">
        <v>348</v>
      </c>
      <c r="M2" s="23">
        <f>IF(M1&lt;F2,J2,(VLOOKUP(M1,E2:J8,3,TRUE)*(M1-VLOOKUP(M1,E2:J8,4,TRUE)))+VLOOKUP(M1,E2:J8,5,TRUE))</f>
        <v>34904.386039999998</v>
      </c>
      <c r="N2" s="23"/>
      <c r="O2" s="23"/>
    </row>
    <row r="3" spans="1:15" ht="16.5" customHeight="1" x14ac:dyDescent="0.2">
      <c r="A3" s="12" t="s">
        <v>349</v>
      </c>
      <c r="B3" s="19">
        <v>-1870</v>
      </c>
      <c r="E3" s="25">
        <f>F2+1</f>
        <v>-8499</v>
      </c>
      <c r="F3" s="106">
        <v>21800</v>
      </c>
      <c r="G3" s="34">
        <v>0.22</v>
      </c>
      <c r="H3" s="25"/>
      <c r="I3" s="25"/>
      <c r="J3" s="25"/>
      <c r="K3" s="25"/>
      <c r="N3" s="23"/>
      <c r="O3" s="23"/>
    </row>
    <row r="4" spans="1:15" ht="16.5" customHeight="1" x14ac:dyDescent="0.2">
      <c r="A4" s="79" t="s">
        <v>350</v>
      </c>
      <c r="B4" s="12" t="s">
        <v>351</v>
      </c>
      <c r="E4" s="25">
        <f>F3+1</f>
        <v>21801</v>
      </c>
      <c r="F4" s="106">
        <v>27300</v>
      </c>
      <c r="G4" s="34">
        <v>0.25</v>
      </c>
      <c r="H4" s="25">
        <f>F3</f>
        <v>21800</v>
      </c>
      <c r="I4" s="106">
        <f>F3*G3</f>
        <v>4796</v>
      </c>
      <c r="J4" s="25"/>
      <c r="K4" s="25"/>
      <c r="N4" s="23"/>
    </row>
    <row r="5" spans="1:15" ht="16.5" customHeight="1" x14ac:dyDescent="0.2">
      <c r="A5" s="12" t="s">
        <v>352</v>
      </c>
      <c r="B5" s="12" t="s">
        <v>353</v>
      </c>
      <c r="E5" s="25">
        <f t="shared" ref="E5:E8" si="0">F4+1</f>
        <v>27301</v>
      </c>
      <c r="F5" s="106">
        <v>32800</v>
      </c>
      <c r="G5" s="34">
        <v>0.28999999999999998</v>
      </c>
      <c r="H5" s="25">
        <f>F4</f>
        <v>27300</v>
      </c>
      <c r="I5" s="106">
        <v>6171</v>
      </c>
      <c r="J5" s="25"/>
      <c r="K5" s="25"/>
    </row>
    <row r="6" spans="1:15" ht="16.5" customHeight="1" x14ac:dyDescent="0.2">
      <c r="A6" s="12" t="s">
        <v>354</v>
      </c>
      <c r="B6" s="12" t="s">
        <v>355</v>
      </c>
      <c r="E6" s="25">
        <f t="shared" si="0"/>
        <v>32801</v>
      </c>
      <c r="F6" s="106">
        <v>38400</v>
      </c>
      <c r="G6" s="34">
        <v>0.34</v>
      </c>
      <c r="H6" s="25">
        <f t="shared" ref="H6:H8" si="1">F5</f>
        <v>32800</v>
      </c>
      <c r="I6" s="106">
        <v>7766</v>
      </c>
      <c r="J6" s="25"/>
      <c r="K6" s="25"/>
    </row>
    <row r="7" spans="1:15" ht="16.5" customHeight="1" x14ac:dyDescent="0.2">
      <c r="A7" s="12" t="s">
        <v>356</v>
      </c>
      <c r="B7" s="12" t="s">
        <v>357</v>
      </c>
      <c r="E7" s="25">
        <f t="shared" si="0"/>
        <v>38401</v>
      </c>
      <c r="F7" s="106">
        <v>43900</v>
      </c>
      <c r="G7" s="34">
        <v>0.4</v>
      </c>
      <c r="H7" s="25">
        <f t="shared" si="1"/>
        <v>38400</v>
      </c>
      <c r="I7" s="106">
        <v>9670</v>
      </c>
      <c r="J7" s="25"/>
      <c r="K7" s="25"/>
    </row>
    <row r="8" spans="1:15" ht="16.5" customHeight="1" x14ac:dyDescent="0.2">
      <c r="A8" s="12" t="s">
        <v>358</v>
      </c>
      <c r="B8" s="12" t="s">
        <v>359</v>
      </c>
      <c r="E8" s="25">
        <f t="shared" si="0"/>
        <v>43901</v>
      </c>
      <c r="F8" s="25">
        <v>999999999</v>
      </c>
      <c r="G8" s="34">
        <v>0.47</v>
      </c>
      <c r="H8" s="25">
        <f t="shared" si="1"/>
        <v>43900</v>
      </c>
      <c r="I8" s="106">
        <v>11870</v>
      </c>
      <c r="J8" s="25"/>
      <c r="K8" s="25"/>
    </row>
    <row r="9" spans="1:15" ht="16.5" customHeight="1" x14ac:dyDescent="0.2">
      <c r="A9" s="12" t="s">
        <v>360</v>
      </c>
      <c r="B9" s="12" t="s">
        <v>361</v>
      </c>
    </row>
  </sheetData>
  <sheetProtection sheet="1" objects="1" scenarios="1"/>
  <mergeCells count="1">
    <mergeCell ref="A1:B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A1:D43"/>
  <sheetViews>
    <sheetView workbookViewId="0">
      <selection activeCell="G21" sqref="G21"/>
    </sheetView>
  </sheetViews>
  <sheetFormatPr defaultRowHeight="12.75" x14ac:dyDescent="0.2"/>
  <cols>
    <col min="1" max="1" width="93.33203125" customWidth="1"/>
    <col min="2" max="2" width="6.1640625" customWidth="1"/>
    <col min="3" max="3" width="11.83203125" bestFit="1" customWidth="1"/>
    <col min="4" max="4" width="2.6640625" customWidth="1"/>
  </cols>
  <sheetData>
    <row r="1" spans="1:4" ht="75.95" customHeight="1" x14ac:dyDescent="0.2">
      <c r="A1" s="121" t="s">
        <v>362</v>
      </c>
      <c r="B1" s="121"/>
      <c r="C1" s="121"/>
      <c r="D1" s="121"/>
    </row>
    <row r="2" spans="1:4" ht="16.5" customHeight="1" x14ac:dyDescent="0.2">
      <c r="A2" s="117" t="s">
        <v>363</v>
      </c>
      <c r="B2" s="118"/>
      <c r="C2" s="119"/>
    </row>
    <row r="3" spans="1:4" ht="16.5" customHeight="1" x14ac:dyDescent="0.2">
      <c r="A3" s="5" t="s">
        <v>364</v>
      </c>
      <c r="B3" s="6"/>
      <c r="C3" s="7">
        <f>Calculator!B33</f>
        <v>10115</v>
      </c>
    </row>
    <row r="4" spans="1:4" ht="16.5" customHeight="1" x14ac:dyDescent="0.2">
      <c r="A4" s="5" t="s">
        <v>365</v>
      </c>
      <c r="B4" s="8" t="s">
        <v>190</v>
      </c>
      <c r="C4" s="7">
        <f>Calculator!B34</f>
        <v>0</v>
      </c>
    </row>
    <row r="5" spans="1:4" ht="16.5" customHeight="1" x14ac:dyDescent="0.2">
      <c r="A5" s="5" t="s">
        <v>366</v>
      </c>
      <c r="B5" s="8" t="s">
        <v>190</v>
      </c>
      <c r="C5" s="7">
        <f>Calculator!B35</f>
        <v>0</v>
      </c>
    </row>
    <row r="6" spans="1:4" ht="33.75" customHeight="1" x14ac:dyDescent="0.2">
      <c r="A6" s="5" t="s">
        <v>367</v>
      </c>
      <c r="B6" s="10" t="s">
        <v>190</v>
      </c>
      <c r="C6" s="7">
        <f>Calculator!B36</f>
        <v>0</v>
      </c>
    </row>
    <row r="7" spans="1:4" ht="33.75" customHeight="1" x14ac:dyDescent="0.2">
      <c r="A7" s="112" t="s">
        <v>368</v>
      </c>
      <c r="B7" s="10" t="s">
        <v>194</v>
      </c>
      <c r="C7" s="7"/>
    </row>
    <row r="8" spans="1:4" ht="33.75" customHeight="1" x14ac:dyDescent="0.2">
      <c r="A8" s="5" t="s">
        <v>369</v>
      </c>
      <c r="B8" s="10" t="s">
        <v>190</v>
      </c>
      <c r="C8" s="7">
        <f>Calculator!B37</f>
        <v>0</v>
      </c>
    </row>
    <row r="9" spans="1:4" ht="16.5" customHeight="1" x14ac:dyDescent="0.2">
      <c r="A9" s="12" t="s">
        <v>370</v>
      </c>
      <c r="B9" s="8" t="s">
        <v>197</v>
      </c>
      <c r="C9" s="7">
        <f>SUM(C3:C8)</f>
        <v>10115</v>
      </c>
    </row>
    <row r="10" spans="1:4" ht="16.5" customHeight="1" x14ac:dyDescent="0.2">
      <c r="A10" s="117" t="s">
        <v>371</v>
      </c>
      <c r="B10" s="118"/>
      <c r="C10" s="119"/>
    </row>
    <row r="11" spans="1:4" ht="16.5" customHeight="1" x14ac:dyDescent="0.2">
      <c r="A11" s="5" t="s">
        <v>372</v>
      </c>
      <c r="B11" s="6"/>
      <c r="C11" s="7">
        <f>Calculator!B38</f>
        <v>0</v>
      </c>
    </row>
    <row r="12" spans="1:4" ht="16.5" customHeight="1" x14ac:dyDescent="0.2">
      <c r="A12" s="5" t="s">
        <v>373</v>
      </c>
      <c r="B12" s="8" t="s">
        <v>190</v>
      </c>
      <c r="C12" s="7">
        <f>Calculator!B39</f>
        <v>0</v>
      </c>
    </row>
    <row r="13" spans="1:4" ht="16.5" customHeight="1" x14ac:dyDescent="0.2">
      <c r="A13" s="5" t="s">
        <v>374</v>
      </c>
      <c r="B13" s="8" t="s">
        <v>190</v>
      </c>
      <c r="C13" s="7">
        <f>Calculator!B40</f>
        <v>0</v>
      </c>
    </row>
    <row r="14" spans="1:4" ht="16.5" customHeight="1" x14ac:dyDescent="0.2">
      <c r="A14" s="12" t="s">
        <v>375</v>
      </c>
      <c r="B14" s="8" t="s">
        <v>197</v>
      </c>
      <c r="C14" s="7">
        <f>SUM(C11:C13)</f>
        <v>0</v>
      </c>
    </row>
    <row r="15" spans="1:4" ht="69.75" customHeight="1" x14ac:dyDescent="0.25">
      <c r="A15" s="4" t="s">
        <v>376</v>
      </c>
      <c r="B15" s="13" t="s">
        <v>197</v>
      </c>
      <c r="C15" s="4">
        <f>C9-C14</f>
        <v>10115</v>
      </c>
    </row>
    <row r="16" spans="1:4" ht="16.5" customHeight="1" x14ac:dyDescent="0.2">
      <c r="A16" s="117" t="s">
        <v>377</v>
      </c>
      <c r="B16" s="118"/>
      <c r="C16" s="119"/>
    </row>
    <row r="17" spans="1:4" ht="16.5" customHeight="1" x14ac:dyDescent="0.2">
      <c r="A17" s="12" t="s">
        <v>378</v>
      </c>
      <c r="B17" s="6"/>
      <c r="C17" s="7">
        <f>Calculator!B41</f>
        <v>0</v>
      </c>
    </row>
    <row r="18" spans="1:4" ht="16.5" customHeight="1" x14ac:dyDescent="0.2">
      <c r="A18" s="12" t="s">
        <v>379</v>
      </c>
      <c r="B18" s="6"/>
      <c r="C18" s="6"/>
    </row>
    <row r="19" spans="1:4" ht="33.75" customHeight="1" x14ac:dyDescent="0.2">
      <c r="A19" s="5" t="s">
        <v>380</v>
      </c>
      <c r="B19" s="10" t="s">
        <v>190</v>
      </c>
      <c r="C19" s="30">
        <f>'Table B1'!B14</f>
        <v>0</v>
      </c>
    </row>
    <row r="20" spans="1:4" ht="33.75" customHeight="1" x14ac:dyDescent="0.2">
      <c r="A20" s="5" t="s">
        <v>381</v>
      </c>
      <c r="B20" s="10" t="s">
        <v>190</v>
      </c>
      <c r="C20" s="30">
        <f>'Table B1'!B21</f>
        <v>0</v>
      </c>
    </row>
    <row r="21" spans="1:4" ht="52.5" customHeight="1" x14ac:dyDescent="0.25">
      <c r="A21" s="86" t="s">
        <v>382</v>
      </c>
      <c r="B21" s="13" t="s">
        <v>190</v>
      </c>
      <c r="C21" s="54">
        <f>IF(OR(Calculator!B52=Calculator!E52,Calculator!B52=Calculator!F52),29350,18310)</f>
        <v>18310</v>
      </c>
    </row>
    <row r="22" spans="1:4" ht="87.75" customHeight="1" x14ac:dyDescent="0.25">
      <c r="A22" s="86" t="s">
        <v>383</v>
      </c>
      <c r="B22" s="13" t="s">
        <v>190</v>
      </c>
      <c r="C22" s="4">
        <f>IF(OR(Calculator!B52=Calculator!E52,Calculator!B52=Calculator!F52),MIN(5000,35%*(SUM(Calculator!B42:B45))),0)</f>
        <v>0</v>
      </c>
    </row>
    <row r="23" spans="1:4" ht="33.75" customHeight="1" x14ac:dyDescent="0.2">
      <c r="A23" s="4" t="s">
        <v>384</v>
      </c>
      <c r="B23" s="10" t="s">
        <v>197</v>
      </c>
      <c r="C23" s="55">
        <f>SUM(C17:C22)</f>
        <v>18310</v>
      </c>
    </row>
    <row r="24" spans="1:4" ht="16.5" customHeight="1" x14ac:dyDescent="0.2">
      <c r="A24" s="117" t="s">
        <v>259</v>
      </c>
      <c r="B24" s="118"/>
      <c r="C24" s="119"/>
    </row>
    <row r="25" spans="1:4" ht="16.5" customHeight="1" x14ac:dyDescent="0.2">
      <c r="A25" s="12" t="s">
        <v>385</v>
      </c>
      <c r="B25" s="6"/>
      <c r="C25" s="7">
        <f>C15</f>
        <v>10115</v>
      </c>
    </row>
    <row r="26" spans="1:4" ht="16.5" customHeight="1" x14ac:dyDescent="0.2">
      <c r="A26" s="12" t="s">
        <v>386</v>
      </c>
      <c r="B26" s="8" t="s">
        <v>218</v>
      </c>
      <c r="C26" s="56">
        <f>C23</f>
        <v>18310</v>
      </c>
    </row>
    <row r="27" spans="1:4" ht="30" x14ac:dyDescent="0.2">
      <c r="A27" s="4" t="s">
        <v>387</v>
      </c>
      <c r="B27" s="10" t="s">
        <v>197</v>
      </c>
      <c r="C27" s="57">
        <f>C25-C26</f>
        <v>-8195</v>
      </c>
    </row>
    <row r="28" spans="1:4" ht="15" x14ac:dyDescent="0.2">
      <c r="A28" s="12" t="s">
        <v>388</v>
      </c>
      <c r="B28" s="8" t="s">
        <v>228</v>
      </c>
      <c r="C28" s="15">
        <v>0.5</v>
      </c>
    </row>
    <row r="29" spans="1:4" ht="15" x14ac:dyDescent="0.2">
      <c r="A29" s="12" t="s">
        <v>389</v>
      </c>
      <c r="B29" s="8" t="s">
        <v>197</v>
      </c>
      <c r="C29" s="56">
        <f>C27*C28</f>
        <v>-4097.5</v>
      </c>
    </row>
    <row r="30" spans="1:4" ht="15.75" x14ac:dyDescent="0.2">
      <c r="A30" s="120" t="s">
        <v>265</v>
      </c>
      <c r="B30" s="120"/>
      <c r="C30" s="120"/>
      <c r="D30" s="120"/>
    </row>
    <row r="31" spans="1:4" ht="15" x14ac:dyDescent="0.2">
      <c r="A31" s="12" t="s">
        <v>390</v>
      </c>
      <c r="B31" s="6"/>
      <c r="C31" s="7">
        <f>Calculator!B46</f>
        <v>0</v>
      </c>
    </row>
    <row r="32" spans="1:4" ht="15" x14ac:dyDescent="0.2">
      <c r="A32" s="12" t="s">
        <v>391</v>
      </c>
      <c r="B32" s="14" t="s">
        <v>190</v>
      </c>
      <c r="C32" s="7">
        <f>Calculator!B47</f>
        <v>0</v>
      </c>
    </row>
    <row r="33" spans="1:4" ht="75" x14ac:dyDescent="0.25">
      <c r="A33" s="4" t="s">
        <v>392</v>
      </c>
      <c r="B33" s="13" t="s">
        <v>190</v>
      </c>
      <c r="C33" s="7">
        <f>Calculator!B48</f>
        <v>0</v>
      </c>
    </row>
    <row r="34" spans="1:4" ht="45" x14ac:dyDescent="0.25">
      <c r="A34" s="4" t="s">
        <v>393</v>
      </c>
      <c r="B34" s="13" t="s">
        <v>190</v>
      </c>
      <c r="C34" s="58">
        <f>'Table B2, B3'!O3</f>
        <v>0</v>
      </c>
    </row>
    <row r="35" spans="1:4" ht="15" x14ac:dyDescent="0.2">
      <c r="A35" s="12" t="s">
        <v>394</v>
      </c>
      <c r="B35" s="8" t="s">
        <v>197</v>
      </c>
      <c r="C35" s="59">
        <f>SUM(C31:C34)</f>
        <v>0</v>
      </c>
    </row>
    <row r="36" spans="1:4" ht="15" x14ac:dyDescent="0.2">
      <c r="A36" s="12" t="s">
        <v>395</v>
      </c>
      <c r="B36" s="8" t="s">
        <v>218</v>
      </c>
      <c r="C36" s="7">
        <f>VLOOKUP(Calculator!C53,'Table B2, B3'!A10:C50,IF(OR(Calculator!B52=Calculator!E52,Calculator!B52=Calculator!F52),2,3),TRUE)</f>
        <v>0</v>
      </c>
    </row>
    <row r="37" spans="1:4" ht="24" customHeight="1" x14ac:dyDescent="0.2">
      <c r="A37" s="88" t="s">
        <v>396</v>
      </c>
      <c r="B37" s="10" t="s">
        <v>197</v>
      </c>
      <c r="C37" s="57">
        <f>C35-C36</f>
        <v>0</v>
      </c>
    </row>
    <row r="38" spans="1:4" ht="15" x14ac:dyDescent="0.2">
      <c r="A38" s="12" t="s">
        <v>397</v>
      </c>
      <c r="B38" s="8" t="s">
        <v>228</v>
      </c>
      <c r="C38" s="15">
        <v>0.2</v>
      </c>
    </row>
    <row r="39" spans="1:4" ht="45" x14ac:dyDescent="0.25">
      <c r="A39" s="4" t="s">
        <v>398</v>
      </c>
      <c r="B39" s="13" t="s">
        <v>197</v>
      </c>
      <c r="C39" s="52">
        <f>IF(Calculator!O20="No",0,C37*C38)</f>
        <v>0</v>
      </c>
    </row>
    <row r="40" spans="1:4" ht="15.75" x14ac:dyDescent="0.2">
      <c r="A40" s="120" t="s">
        <v>399</v>
      </c>
      <c r="B40" s="120"/>
      <c r="C40" s="120"/>
      <c r="D40" s="120"/>
    </row>
    <row r="41" spans="1:4" ht="30" x14ac:dyDescent="0.2">
      <c r="A41" s="4" t="s">
        <v>400</v>
      </c>
      <c r="B41" s="21"/>
      <c r="C41" s="57">
        <f>C29</f>
        <v>-4097.5</v>
      </c>
    </row>
    <row r="42" spans="1:4" ht="15" x14ac:dyDescent="0.2">
      <c r="A42" s="12" t="s">
        <v>401</v>
      </c>
      <c r="B42" s="14" t="s">
        <v>190</v>
      </c>
      <c r="C42" s="48">
        <f>C39</f>
        <v>0</v>
      </c>
    </row>
    <row r="43" spans="1:4" ht="45" x14ac:dyDescent="0.25">
      <c r="A43" s="4" t="s">
        <v>402</v>
      </c>
      <c r="B43" s="13" t="s">
        <v>197</v>
      </c>
      <c r="C43" s="54">
        <f>MAX(-1500,(C41+C42))</f>
        <v>-1500</v>
      </c>
    </row>
  </sheetData>
  <mergeCells count="7">
    <mergeCell ref="A30:D30"/>
    <mergeCell ref="A40:D40"/>
    <mergeCell ref="A1:D1"/>
    <mergeCell ref="A2:C2"/>
    <mergeCell ref="A10:C10"/>
    <mergeCell ref="A16:C16"/>
    <mergeCell ref="A24:C24"/>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50"/>
  </sheetPr>
  <dimension ref="A1:J21"/>
  <sheetViews>
    <sheetView topLeftCell="A4" workbookViewId="0">
      <selection activeCell="A8" sqref="A8"/>
    </sheetView>
  </sheetViews>
  <sheetFormatPr defaultRowHeight="12.75" x14ac:dyDescent="0.2"/>
  <cols>
    <col min="1" max="1" width="22.6640625" customWidth="1"/>
    <col min="2" max="2" width="86" customWidth="1"/>
    <col min="3" max="3" width="2.83203125" customWidth="1"/>
    <col min="4" max="4" width="9.6640625" bestFit="1" customWidth="1"/>
    <col min="5" max="5" width="10.33203125" bestFit="1" customWidth="1"/>
    <col min="6" max="6" width="16.83203125" bestFit="1" customWidth="1"/>
    <col min="7" max="7" width="18.1640625" bestFit="1" customWidth="1"/>
    <col min="8" max="8" width="19.6640625" bestFit="1" customWidth="1"/>
    <col min="9" max="9" width="24.33203125" bestFit="1" customWidth="1"/>
    <col min="10" max="10" width="8.83203125" customWidth="1"/>
  </cols>
  <sheetData>
    <row r="1" spans="1:10" ht="54.95" customHeight="1" x14ac:dyDescent="0.2">
      <c r="A1" s="121" t="s">
        <v>403</v>
      </c>
      <c r="B1" s="121"/>
      <c r="C1" s="121"/>
    </row>
    <row r="2" spans="1:10" ht="16.5" customHeight="1" x14ac:dyDescent="0.2">
      <c r="A2" s="3" t="s">
        <v>278</v>
      </c>
      <c r="B2" s="3" t="s">
        <v>279</v>
      </c>
    </row>
    <row r="3" spans="1:10" ht="206.45" customHeight="1" x14ac:dyDescent="0.2">
      <c r="A3" s="12" t="s">
        <v>280</v>
      </c>
      <c r="B3" s="4" t="s">
        <v>404</v>
      </c>
    </row>
    <row r="4" spans="1:10" ht="141.94999999999999" customHeight="1" x14ac:dyDescent="0.2">
      <c r="A4" s="12" t="s">
        <v>282</v>
      </c>
      <c r="B4" s="12" t="s">
        <v>405</v>
      </c>
    </row>
    <row r="5" spans="1:10" ht="126" customHeight="1" x14ac:dyDescent="0.2">
      <c r="A5" s="123" t="s">
        <v>284</v>
      </c>
      <c r="B5" s="121"/>
      <c r="C5" s="121"/>
    </row>
    <row r="6" spans="1:10" x14ac:dyDescent="0.2">
      <c r="A6" s="87" t="s">
        <v>406</v>
      </c>
      <c r="D6" t="s">
        <v>286</v>
      </c>
      <c r="E6" t="s">
        <v>158</v>
      </c>
      <c r="F6" t="s">
        <v>162</v>
      </c>
      <c r="G6" t="s">
        <v>157</v>
      </c>
      <c r="H6" t="s">
        <v>163</v>
      </c>
      <c r="I6" t="s">
        <v>164</v>
      </c>
      <c r="J6" t="s">
        <v>165</v>
      </c>
    </row>
    <row r="7" spans="1:10" x14ac:dyDescent="0.2">
      <c r="A7" s="87" t="s">
        <v>407</v>
      </c>
      <c r="B7" t="str">
        <f>Calculator!B32</f>
        <v>Single</v>
      </c>
      <c r="D7" t="s">
        <v>288</v>
      </c>
      <c r="E7" s="22">
        <f>IF(B11&lt;B8,B11*1.45%,((B11-B8)*2.35%)+(B8*1.45%))</f>
        <v>0</v>
      </c>
      <c r="F7" s="22">
        <f>IF(B11&lt;B8,B11*1.45%,((B11-B8)*2.35%)+(B8*1.45%))</f>
        <v>0</v>
      </c>
      <c r="G7" s="22">
        <f>IF(B13&lt;B9,B13*1.45%,((B13-B9)*2.35%)+(B9*1.45%))</f>
        <v>0</v>
      </c>
      <c r="H7" s="22">
        <f>(IF(B11&lt;B10,B11*1.45%,((B11-B10)*2.35%)+(B10*1.45%)))+(IF(B12&lt;B10,B12*1.45%,((B12-B10)*2.35%)+(B10*1.45%)))</f>
        <v>0</v>
      </c>
      <c r="I7" s="22">
        <f>IF(B11&lt;B8,B11*1.45%,((B11-B8)*2.35%)+(B8*1.45%))</f>
        <v>0</v>
      </c>
      <c r="J7">
        <v>0</v>
      </c>
    </row>
    <row r="8" spans="1:10" x14ac:dyDescent="0.2">
      <c r="A8" s="87" t="s">
        <v>408</v>
      </c>
      <c r="B8" s="37">
        <v>200000</v>
      </c>
      <c r="D8" t="s">
        <v>290</v>
      </c>
      <c r="E8" s="22">
        <f>MIN(B11*6.2%,B18)</f>
        <v>0</v>
      </c>
      <c r="F8" s="22">
        <f>MIN(B11*6.2%,B18)</f>
        <v>0</v>
      </c>
      <c r="G8" s="22">
        <f>MIN(B16*B13,B20)</f>
        <v>0</v>
      </c>
      <c r="H8" s="22">
        <f>MIN(B16*B13,B20)</f>
        <v>0</v>
      </c>
      <c r="I8" s="22">
        <f>MIN(B11*6.2%,B18)</f>
        <v>0</v>
      </c>
      <c r="J8">
        <v>0</v>
      </c>
    </row>
    <row r="9" spans="1:10" x14ac:dyDescent="0.2">
      <c r="A9" s="87" t="s">
        <v>409</v>
      </c>
      <c r="B9" s="108">
        <v>250000</v>
      </c>
      <c r="G9" s="23"/>
    </row>
    <row r="10" spans="1:10" x14ac:dyDescent="0.2">
      <c r="A10" s="87" t="s">
        <v>410</v>
      </c>
      <c r="B10" s="37">
        <v>125000</v>
      </c>
    </row>
    <row r="11" spans="1:10" x14ac:dyDescent="0.2">
      <c r="A11" s="87" t="s">
        <v>411</v>
      </c>
      <c r="B11" s="22">
        <f>Calculator!B42</f>
        <v>0</v>
      </c>
      <c r="G11" s="23"/>
    </row>
    <row r="12" spans="1:10" x14ac:dyDescent="0.2">
      <c r="A12" s="87" t="s">
        <v>412</v>
      </c>
      <c r="B12" s="22">
        <f>Calculator!B44+Calculator!B45</f>
        <v>0</v>
      </c>
    </row>
    <row r="13" spans="1:10" x14ac:dyDescent="0.2">
      <c r="A13" s="87" t="s">
        <v>413</v>
      </c>
      <c r="B13" s="22">
        <f>B11+B12</f>
        <v>0</v>
      </c>
    </row>
    <row r="14" spans="1:10" x14ac:dyDescent="0.2">
      <c r="A14" s="87" t="s">
        <v>414</v>
      </c>
      <c r="B14" s="22">
        <f>HLOOKUP(B7,E6:J8,2,FALSE)</f>
        <v>0</v>
      </c>
    </row>
    <row r="15" spans="1:10" x14ac:dyDescent="0.2">
      <c r="A15" s="87" t="s">
        <v>415</v>
      </c>
    </row>
    <row r="16" spans="1:10" x14ac:dyDescent="0.2">
      <c r="A16" t="s">
        <v>297</v>
      </c>
      <c r="B16" s="53">
        <v>6.2E-2</v>
      </c>
    </row>
    <row r="17" spans="1:2" x14ac:dyDescent="0.2">
      <c r="A17" s="87" t="s">
        <v>416</v>
      </c>
      <c r="B17" s="37">
        <v>168600</v>
      </c>
    </row>
    <row r="18" spans="1:2" x14ac:dyDescent="0.2">
      <c r="A18" s="87" t="s">
        <v>417</v>
      </c>
      <c r="B18" s="37">
        <v>10453</v>
      </c>
    </row>
    <row r="19" spans="1:2" x14ac:dyDescent="0.2">
      <c r="A19" s="87" t="s">
        <v>418</v>
      </c>
      <c r="B19" s="37">
        <v>337200</v>
      </c>
    </row>
    <row r="20" spans="1:2" x14ac:dyDescent="0.2">
      <c r="A20" s="87" t="s">
        <v>419</v>
      </c>
      <c r="B20" s="37">
        <v>20906</v>
      </c>
    </row>
    <row r="21" spans="1:2" x14ac:dyDescent="0.2">
      <c r="A21" t="s">
        <v>302</v>
      </c>
      <c r="B21" s="22">
        <f>HLOOKUP(B7,E6:J8,3,FALSE)</f>
        <v>0</v>
      </c>
    </row>
  </sheetData>
  <mergeCells count="2">
    <mergeCell ref="A1:C1"/>
    <mergeCell ref="A5:C5"/>
  </mergeCells>
  <hyperlinks>
    <hyperlink ref="A5" r:id="rId1" display="https://www.ssa.gov/oact/cola/cbb.html" xr:uid="{00000000-0004-0000-0F00-000000000000}"/>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tabColor rgb="FF00B050"/>
  </sheetPr>
  <dimension ref="A1:O50"/>
  <sheetViews>
    <sheetView workbookViewId="0">
      <selection activeCell="M8" sqref="M8"/>
    </sheetView>
  </sheetViews>
  <sheetFormatPr defaultRowHeight="12.75" x14ac:dyDescent="0.2"/>
  <cols>
    <col min="1" max="1" width="17.83203125" customWidth="1"/>
    <col min="2" max="6" width="18" customWidth="1"/>
    <col min="7" max="7" width="2.83203125" customWidth="1"/>
    <col min="9" max="9" width="19.83203125" bestFit="1" customWidth="1"/>
    <col min="10" max="10" width="13.33203125" bestFit="1" customWidth="1"/>
    <col min="11" max="11" width="9.83203125" bestFit="1" customWidth="1"/>
    <col min="12" max="13" width="13" bestFit="1" customWidth="1"/>
    <col min="14" max="14" width="40.1640625" bestFit="1" customWidth="1"/>
    <col min="15" max="15" width="12.33203125" bestFit="1" customWidth="1"/>
  </cols>
  <sheetData>
    <row r="1" spans="1:15" ht="18" customHeight="1" x14ac:dyDescent="0.2">
      <c r="A1" s="120" t="s">
        <v>420</v>
      </c>
      <c r="B1" s="120"/>
      <c r="C1" s="120"/>
      <c r="D1" s="120"/>
      <c r="E1" s="120"/>
      <c r="F1" s="120"/>
      <c r="G1" s="120"/>
      <c r="I1" s="22"/>
    </row>
    <row r="2" spans="1:15" ht="16.5" customHeight="1" x14ac:dyDescent="0.2">
      <c r="A2" s="137" t="s">
        <v>322</v>
      </c>
      <c r="B2" s="138"/>
      <c r="C2" s="139"/>
      <c r="D2" s="137" t="s">
        <v>323</v>
      </c>
      <c r="E2" s="138"/>
      <c r="F2" s="139"/>
      <c r="I2" s="87" t="s">
        <v>313</v>
      </c>
      <c r="J2" s="87"/>
      <c r="K2" s="87" t="s">
        <v>314</v>
      </c>
      <c r="L2" s="87" t="s">
        <v>315</v>
      </c>
      <c r="M2" s="87" t="s">
        <v>316</v>
      </c>
      <c r="N2" s="87" t="s">
        <v>319</v>
      </c>
      <c r="O2" s="22">
        <f>Calculator!B49</f>
        <v>0</v>
      </c>
    </row>
    <row r="3" spans="1:15" ht="16.5" customHeight="1" x14ac:dyDescent="0.2">
      <c r="A3" s="127" t="s">
        <v>324</v>
      </c>
      <c r="B3" s="128"/>
      <c r="C3" s="129"/>
      <c r="D3" s="140">
        <v>0</v>
      </c>
      <c r="E3" s="141"/>
      <c r="F3" s="142"/>
      <c r="I3">
        <v>0</v>
      </c>
      <c r="J3" s="25">
        <v>0</v>
      </c>
      <c r="K3" s="34">
        <v>0</v>
      </c>
      <c r="L3" s="22">
        <v>0</v>
      </c>
      <c r="M3" s="22">
        <v>0</v>
      </c>
      <c r="N3" s="87" t="s">
        <v>320</v>
      </c>
      <c r="O3" s="23">
        <f>(VLOOKUP(O2,I3:M8,5,TRUE))+(O2-(VLOOKUP(O2,I3:M8,4,TRUE)))*(VLOOKUP(O2,I3:M8,3,TRUE))</f>
        <v>0</v>
      </c>
    </row>
    <row r="4" spans="1:15" ht="16.5" customHeight="1" x14ac:dyDescent="0.2">
      <c r="A4" s="127" t="s">
        <v>325</v>
      </c>
      <c r="B4" s="128"/>
      <c r="C4" s="129"/>
      <c r="D4" s="127" t="s">
        <v>326</v>
      </c>
      <c r="E4" s="128"/>
      <c r="F4" s="129"/>
      <c r="I4">
        <f>J3+1</f>
        <v>1</v>
      </c>
      <c r="J4" s="106">
        <v>175000</v>
      </c>
      <c r="K4" s="34">
        <v>0.4</v>
      </c>
      <c r="L4" s="22">
        <f>J3</f>
        <v>0</v>
      </c>
      <c r="M4" s="22">
        <v>0</v>
      </c>
      <c r="O4" s="23"/>
    </row>
    <row r="5" spans="1:15" ht="16.5" customHeight="1" x14ac:dyDescent="0.2">
      <c r="A5" s="127" t="s">
        <v>327</v>
      </c>
      <c r="B5" s="128"/>
      <c r="C5" s="129"/>
      <c r="D5" s="127" t="s">
        <v>328</v>
      </c>
      <c r="E5" s="128"/>
      <c r="F5" s="129"/>
      <c r="I5">
        <f t="shared" ref="I5:I7" si="0">J4+1</f>
        <v>175001</v>
      </c>
      <c r="J5" s="106">
        <v>520000</v>
      </c>
      <c r="K5" s="34">
        <v>0.5</v>
      </c>
      <c r="L5" s="22">
        <f>J4</f>
        <v>175000</v>
      </c>
      <c r="M5" s="37">
        <v>70000</v>
      </c>
    </row>
    <row r="6" spans="1:15" ht="16.5" customHeight="1" x14ac:dyDescent="0.2">
      <c r="A6" s="127" t="s">
        <v>421</v>
      </c>
      <c r="B6" s="128"/>
      <c r="C6" s="129"/>
      <c r="D6" s="127" t="s">
        <v>330</v>
      </c>
      <c r="E6" s="128"/>
      <c r="F6" s="129"/>
      <c r="I6">
        <f t="shared" si="0"/>
        <v>520001</v>
      </c>
      <c r="J6" s="106">
        <v>870000</v>
      </c>
      <c r="K6" s="34">
        <v>0.6</v>
      </c>
      <c r="L6" s="22">
        <f t="shared" ref="L6:L7" si="1">J5</f>
        <v>520000</v>
      </c>
      <c r="M6" s="37">
        <v>242500</v>
      </c>
      <c r="N6" s="22"/>
      <c r="O6" s="23"/>
    </row>
    <row r="7" spans="1:15" ht="16.5" customHeight="1" x14ac:dyDescent="0.2">
      <c r="A7" s="127" t="s">
        <v>331</v>
      </c>
      <c r="B7" s="128"/>
      <c r="C7" s="129"/>
      <c r="D7" s="127" t="s">
        <v>332</v>
      </c>
      <c r="E7" s="128"/>
      <c r="F7" s="129"/>
      <c r="I7">
        <f t="shared" si="0"/>
        <v>870001</v>
      </c>
      <c r="J7" s="25">
        <v>999999999</v>
      </c>
      <c r="K7" s="34">
        <v>1</v>
      </c>
      <c r="L7" s="22">
        <f t="shared" si="1"/>
        <v>870000</v>
      </c>
      <c r="M7" s="37">
        <v>452500</v>
      </c>
      <c r="N7" s="22"/>
      <c r="O7" s="23"/>
    </row>
    <row r="8" spans="1:15" ht="18" customHeight="1" x14ac:dyDescent="0.2">
      <c r="A8" s="120" t="s">
        <v>422</v>
      </c>
      <c r="B8" s="120"/>
      <c r="C8" s="120"/>
      <c r="D8" s="120"/>
      <c r="E8" s="120"/>
      <c r="F8" s="120"/>
      <c r="G8" s="120"/>
      <c r="N8" s="22"/>
    </row>
    <row r="9" spans="1:15" ht="41.1" customHeight="1" x14ac:dyDescent="0.2">
      <c r="A9" s="4" t="s">
        <v>423</v>
      </c>
      <c r="B9" s="4" t="s">
        <v>424</v>
      </c>
      <c r="C9" s="4" t="s">
        <v>425</v>
      </c>
    </row>
    <row r="10" spans="1:15" ht="16.5" customHeight="1" x14ac:dyDescent="0.2">
      <c r="A10" s="12">
        <v>0</v>
      </c>
      <c r="B10" s="107">
        <v>0</v>
      </c>
      <c r="C10" s="107">
        <v>0</v>
      </c>
    </row>
    <row r="11" spans="1:15" ht="16.5" customHeight="1" x14ac:dyDescent="0.2">
      <c r="A11" s="18">
        <v>26</v>
      </c>
      <c r="B11" s="107">
        <v>0</v>
      </c>
      <c r="C11" s="107">
        <v>0</v>
      </c>
    </row>
    <row r="12" spans="1:15" ht="16.5" customHeight="1" x14ac:dyDescent="0.2">
      <c r="A12" s="18">
        <v>27</v>
      </c>
      <c r="B12" s="107">
        <v>0</v>
      </c>
      <c r="C12" s="107">
        <v>0</v>
      </c>
    </row>
    <row r="13" spans="1:15" ht="16.5" customHeight="1" x14ac:dyDescent="0.2">
      <c r="A13" s="18">
        <v>28</v>
      </c>
      <c r="B13" s="107">
        <v>0</v>
      </c>
      <c r="C13" s="107">
        <v>0</v>
      </c>
    </row>
    <row r="14" spans="1:15" ht="16.5" customHeight="1" x14ac:dyDescent="0.2">
      <c r="A14" s="18">
        <v>29</v>
      </c>
      <c r="B14" s="107">
        <v>0</v>
      </c>
      <c r="C14" s="107">
        <v>0</v>
      </c>
    </row>
    <row r="15" spans="1:15" ht="16.5" customHeight="1" x14ac:dyDescent="0.2">
      <c r="A15" s="18">
        <v>30</v>
      </c>
      <c r="B15" s="107">
        <v>0</v>
      </c>
      <c r="C15" s="107">
        <v>0</v>
      </c>
    </row>
    <row r="16" spans="1:15" ht="16.5" customHeight="1" x14ac:dyDescent="0.2">
      <c r="A16" s="18">
        <v>31</v>
      </c>
      <c r="B16" s="107">
        <v>0</v>
      </c>
      <c r="C16" s="107">
        <v>0</v>
      </c>
    </row>
    <row r="17" spans="1:3" ht="16.5" customHeight="1" x14ac:dyDescent="0.2">
      <c r="A17" s="18">
        <v>32</v>
      </c>
      <c r="B17" s="107">
        <v>0</v>
      </c>
      <c r="C17" s="107">
        <v>0</v>
      </c>
    </row>
    <row r="18" spans="1:3" ht="16.5" customHeight="1" x14ac:dyDescent="0.2">
      <c r="A18" s="18">
        <v>33</v>
      </c>
      <c r="B18" s="107">
        <v>0</v>
      </c>
      <c r="C18" s="107">
        <v>0</v>
      </c>
    </row>
    <row r="19" spans="1:3" ht="16.5" customHeight="1" x14ac:dyDescent="0.2">
      <c r="A19" s="18">
        <v>34</v>
      </c>
      <c r="B19" s="107">
        <v>0</v>
      </c>
      <c r="C19" s="107">
        <v>0</v>
      </c>
    </row>
    <row r="20" spans="1:3" ht="16.5" customHeight="1" x14ac:dyDescent="0.2">
      <c r="A20" s="18">
        <v>35</v>
      </c>
      <c r="B20" s="107">
        <v>0</v>
      </c>
      <c r="C20" s="107">
        <v>0</v>
      </c>
    </row>
    <row r="21" spans="1:3" ht="16.5" customHeight="1" x14ac:dyDescent="0.2">
      <c r="A21" s="18">
        <v>36</v>
      </c>
      <c r="B21" s="107">
        <v>0</v>
      </c>
      <c r="C21" s="107">
        <v>0</v>
      </c>
    </row>
    <row r="22" spans="1:3" ht="16.5" customHeight="1" x14ac:dyDescent="0.2">
      <c r="A22" s="18">
        <v>37</v>
      </c>
      <c r="B22" s="107">
        <v>0</v>
      </c>
      <c r="C22" s="107">
        <v>0</v>
      </c>
    </row>
    <row r="23" spans="1:3" ht="16.5" customHeight="1" x14ac:dyDescent="0.2">
      <c r="A23" s="18">
        <v>38</v>
      </c>
      <c r="B23" s="107">
        <v>0</v>
      </c>
      <c r="C23" s="107">
        <v>0</v>
      </c>
    </row>
    <row r="24" spans="1:3" ht="16.5" customHeight="1" x14ac:dyDescent="0.2">
      <c r="A24" s="18">
        <v>39</v>
      </c>
      <c r="B24" s="107">
        <v>0</v>
      </c>
      <c r="C24" s="107">
        <v>0</v>
      </c>
    </row>
    <row r="25" spans="1:3" ht="16.5" customHeight="1" x14ac:dyDescent="0.2">
      <c r="A25" s="18">
        <v>40</v>
      </c>
      <c r="B25" s="107">
        <v>0</v>
      </c>
      <c r="C25" s="107">
        <v>0</v>
      </c>
    </row>
    <row r="26" spans="1:3" ht="16.5" customHeight="1" x14ac:dyDescent="0.2">
      <c r="A26" s="18">
        <v>41</v>
      </c>
      <c r="B26" s="107">
        <v>0</v>
      </c>
      <c r="C26" s="107">
        <v>0</v>
      </c>
    </row>
    <row r="27" spans="1:3" ht="16.5" customHeight="1" x14ac:dyDescent="0.2">
      <c r="A27" s="18">
        <v>42</v>
      </c>
      <c r="B27" s="107">
        <v>0</v>
      </c>
      <c r="C27" s="107">
        <v>0</v>
      </c>
    </row>
    <row r="28" spans="1:3" ht="16.5" customHeight="1" x14ac:dyDescent="0.2">
      <c r="A28" s="18">
        <v>43</v>
      </c>
      <c r="B28" s="107">
        <v>0</v>
      </c>
      <c r="C28" s="107">
        <v>0</v>
      </c>
    </row>
    <row r="29" spans="1:3" ht="16.5" customHeight="1" x14ac:dyDescent="0.2">
      <c r="A29" s="18">
        <v>44</v>
      </c>
      <c r="B29" s="107">
        <v>0</v>
      </c>
      <c r="C29" s="107">
        <v>0</v>
      </c>
    </row>
    <row r="30" spans="1:3" ht="16.5" customHeight="1" x14ac:dyDescent="0.2">
      <c r="A30" s="18">
        <v>45</v>
      </c>
      <c r="B30" s="107">
        <v>0</v>
      </c>
      <c r="C30" s="107">
        <v>0</v>
      </c>
    </row>
    <row r="31" spans="1:3" ht="15" x14ac:dyDescent="0.2">
      <c r="A31" s="18">
        <v>46</v>
      </c>
      <c r="B31" s="107">
        <v>0</v>
      </c>
      <c r="C31" s="107">
        <v>0</v>
      </c>
    </row>
    <row r="32" spans="1:3" ht="15" x14ac:dyDescent="0.2">
      <c r="A32" s="18">
        <v>47</v>
      </c>
      <c r="B32" s="107">
        <v>0</v>
      </c>
      <c r="C32" s="107">
        <v>0</v>
      </c>
    </row>
    <row r="33" spans="1:3" ht="15" x14ac:dyDescent="0.2">
      <c r="A33" s="18">
        <v>48</v>
      </c>
      <c r="B33" s="107">
        <v>0</v>
      </c>
      <c r="C33" s="107">
        <v>0</v>
      </c>
    </row>
    <row r="34" spans="1:3" ht="15" x14ac:dyDescent="0.2">
      <c r="A34" s="18">
        <v>49</v>
      </c>
      <c r="B34" s="107">
        <v>0</v>
      </c>
      <c r="C34" s="107">
        <v>0</v>
      </c>
    </row>
    <row r="35" spans="1:3" ht="15" x14ac:dyDescent="0.2">
      <c r="A35" s="18">
        <v>50</v>
      </c>
      <c r="B35" s="107">
        <v>0</v>
      </c>
      <c r="C35" s="107">
        <v>0</v>
      </c>
    </row>
    <row r="36" spans="1:3" ht="15" x14ac:dyDescent="0.2">
      <c r="A36" s="18">
        <v>51</v>
      </c>
      <c r="B36" s="107">
        <v>0</v>
      </c>
      <c r="C36" s="107">
        <v>0</v>
      </c>
    </row>
    <row r="37" spans="1:3" ht="15" x14ac:dyDescent="0.2">
      <c r="A37" s="18">
        <v>52</v>
      </c>
      <c r="B37" s="107">
        <v>0</v>
      </c>
      <c r="C37" s="107">
        <v>0</v>
      </c>
    </row>
    <row r="38" spans="1:3" ht="15" x14ac:dyDescent="0.2">
      <c r="A38" s="18">
        <v>53</v>
      </c>
      <c r="B38" s="107">
        <v>0</v>
      </c>
      <c r="C38" s="107">
        <v>0</v>
      </c>
    </row>
    <row r="39" spans="1:3" ht="15" x14ac:dyDescent="0.2">
      <c r="A39" s="18">
        <v>54</v>
      </c>
      <c r="B39" s="107">
        <v>0</v>
      </c>
      <c r="C39" s="107">
        <v>0</v>
      </c>
    </row>
    <row r="40" spans="1:3" ht="15" x14ac:dyDescent="0.2">
      <c r="A40" s="18">
        <v>55</v>
      </c>
      <c r="B40" s="107">
        <v>0</v>
      </c>
      <c r="C40" s="107">
        <v>0</v>
      </c>
    </row>
    <row r="41" spans="1:3" ht="15" x14ac:dyDescent="0.2">
      <c r="A41" s="18">
        <v>56</v>
      </c>
      <c r="B41" s="107">
        <v>0</v>
      </c>
      <c r="C41" s="107">
        <v>0</v>
      </c>
    </row>
    <row r="42" spans="1:3" ht="15" x14ac:dyDescent="0.2">
      <c r="A42" s="18">
        <v>57</v>
      </c>
      <c r="B42" s="107">
        <v>0</v>
      </c>
      <c r="C42" s="107">
        <v>0</v>
      </c>
    </row>
    <row r="43" spans="1:3" ht="15" x14ac:dyDescent="0.2">
      <c r="A43" s="18">
        <v>58</v>
      </c>
      <c r="B43" s="107">
        <v>0</v>
      </c>
      <c r="C43" s="107">
        <v>0</v>
      </c>
    </row>
    <row r="44" spans="1:3" ht="15" x14ac:dyDescent="0.2">
      <c r="A44" s="18">
        <v>59</v>
      </c>
      <c r="B44" s="107">
        <v>0</v>
      </c>
      <c r="C44" s="107">
        <v>0</v>
      </c>
    </row>
    <row r="45" spans="1:3" ht="15" x14ac:dyDescent="0.2">
      <c r="A45" s="18">
        <v>60</v>
      </c>
      <c r="B45" s="107">
        <v>0</v>
      </c>
      <c r="C45" s="107">
        <v>0</v>
      </c>
    </row>
    <row r="46" spans="1:3" ht="15" x14ac:dyDescent="0.2">
      <c r="A46" s="18">
        <v>61</v>
      </c>
      <c r="B46" s="107">
        <v>0</v>
      </c>
      <c r="C46" s="107">
        <v>0</v>
      </c>
    </row>
    <row r="47" spans="1:3" ht="15" x14ac:dyDescent="0.2">
      <c r="A47" s="18">
        <v>62</v>
      </c>
      <c r="B47" s="107">
        <v>0</v>
      </c>
      <c r="C47" s="107">
        <v>0</v>
      </c>
    </row>
    <row r="48" spans="1:3" ht="15" x14ac:dyDescent="0.2">
      <c r="A48" s="18">
        <v>63</v>
      </c>
      <c r="B48" s="107">
        <v>0</v>
      </c>
      <c r="C48" s="107">
        <v>0</v>
      </c>
    </row>
    <row r="49" spans="1:3" ht="15" x14ac:dyDescent="0.2">
      <c r="A49" s="18">
        <v>64</v>
      </c>
      <c r="B49" s="107">
        <v>0</v>
      </c>
      <c r="C49" s="107">
        <v>0</v>
      </c>
    </row>
    <row r="50" spans="1:3" ht="15" x14ac:dyDescent="0.2">
      <c r="A50" s="12">
        <v>65</v>
      </c>
      <c r="B50" s="107">
        <v>0</v>
      </c>
      <c r="C50" s="107">
        <v>0</v>
      </c>
    </row>
  </sheetData>
  <mergeCells count="14">
    <mergeCell ref="A1:G1"/>
    <mergeCell ref="A2:C2"/>
    <mergeCell ref="D2:F2"/>
    <mergeCell ref="A3:C3"/>
    <mergeCell ref="D3:F3"/>
    <mergeCell ref="A7:C7"/>
    <mergeCell ref="D7:F7"/>
    <mergeCell ref="A8:G8"/>
    <mergeCell ref="A4:C4"/>
    <mergeCell ref="D4:F4"/>
    <mergeCell ref="A5:C5"/>
    <mergeCell ref="D5:F5"/>
    <mergeCell ref="A6:C6"/>
    <mergeCell ref="D6:F6"/>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dimension ref="A1:H43"/>
  <sheetViews>
    <sheetView workbookViewId="0">
      <selection activeCell="E22" sqref="E22"/>
    </sheetView>
  </sheetViews>
  <sheetFormatPr defaultRowHeight="12.75" x14ac:dyDescent="0.2"/>
  <cols>
    <col min="1" max="1" width="93.33203125" customWidth="1"/>
    <col min="2" max="2" width="6.1640625" customWidth="1"/>
    <col min="3" max="3" width="11.6640625" bestFit="1" customWidth="1"/>
    <col min="4" max="4" width="2.6640625" customWidth="1"/>
    <col min="6" max="6" width="10.5" bestFit="1" customWidth="1"/>
  </cols>
  <sheetData>
    <row r="1" spans="1:4" ht="75.75" customHeight="1" x14ac:dyDescent="0.2">
      <c r="A1" s="121" t="s">
        <v>426</v>
      </c>
      <c r="B1" s="121"/>
      <c r="C1" s="121"/>
      <c r="D1" s="121"/>
    </row>
    <row r="2" spans="1:4" ht="16.5" customHeight="1" x14ac:dyDescent="0.2">
      <c r="A2" s="117" t="s">
        <v>363</v>
      </c>
      <c r="B2" s="118"/>
      <c r="C2" s="119"/>
    </row>
    <row r="3" spans="1:4" ht="16.5" customHeight="1" x14ac:dyDescent="0.2">
      <c r="A3" s="5" t="s">
        <v>364</v>
      </c>
      <c r="B3" s="6"/>
      <c r="C3" s="7">
        <f>Calculator!B33</f>
        <v>10115</v>
      </c>
    </row>
    <row r="4" spans="1:4" ht="16.5" customHeight="1" x14ac:dyDescent="0.2">
      <c r="A4" s="5" t="s">
        <v>365</v>
      </c>
      <c r="B4" s="8" t="s">
        <v>190</v>
      </c>
      <c r="C4" s="7">
        <f>Calculator!B34</f>
        <v>0</v>
      </c>
    </row>
    <row r="5" spans="1:4" ht="16.5" customHeight="1" x14ac:dyDescent="0.2">
      <c r="A5" s="5" t="s">
        <v>366</v>
      </c>
      <c r="B5" s="8" t="s">
        <v>190</v>
      </c>
      <c r="C5" s="7">
        <f>Calculator!B35</f>
        <v>0</v>
      </c>
    </row>
    <row r="6" spans="1:4" ht="33.75" customHeight="1" x14ac:dyDescent="0.2">
      <c r="A6" s="9" t="s">
        <v>427</v>
      </c>
      <c r="B6" s="10" t="s">
        <v>190</v>
      </c>
      <c r="C6" s="7">
        <f>Calculator!B36</f>
        <v>0</v>
      </c>
    </row>
    <row r="7" spans="1:4" ht="33.75" customHeight="1" x14ac:dyDescent="0.2">
      <c r="A7" s="113" t="s">
        <v>428</v>
      </c>
      <c r="B7" s="10" t="s">
        <v>194</v>
      </c>
      <c r="C7" s="7"/>
    </row>
    <row r="8" spans="1:4" ht="33.75" customHeight="1" x14ac:dyDescent="0.2">
      <c r="A8" s="5" t="s">
        <v>369</v>
      </c>
      <c r="B8" s="10" t="s">
        <v>190</v>
      </c>
      <c r="C8" s="7">
        <f>Calculator!B37</f>
        <v>0</v>
      </c>
    </row>
    <row r="9" spans="1:4" ht="16.5" customHeight="1" x14ac:dyDescent="0.2">
      <c r="A9" s="12" t="s">
        <v>370</v>
      </c>
      <c r="B9" s="8" t="s">
        <v>197</v>
      </c>
      <c r="C9" s="7">
        <f>SUM(C3:C8)</f>
        <v>10115</v>
      </c>
    </row>
    <row r="10" spans="1:4" ht="16.5" customHeight="1" x14ac:dyDescent="0.2">
      <c r="A10" s="117" t="s">
        <v>371</v>
      </c>
      <c r="B10" s="118"/>
      <c r="C10" s="119"/>
    </row>
    <row r="11" spans="1:4" ht="16.5" customHeight="1" x14ac:dyDescent="0.2">
      <c r="A11" s="5" t="s">
        <v>372</v>
      </c>
      <c r="B11" s="6"/>
      <c r="C11" s="7">
        <f>Calculator!B38</f>
        <v>0</v>
      </c>
    </row>
    <row r="12" spans="1:4" ht="16.5" customHeight="1" x14ac:dyDescent="0.2">
      <c r="A12" s="5" t="s">
        <v>373</v>
      </c>
      <c r="B12" s="8" t="s">
        <v>190</v>
      </c>
      <c r="C12" s="7">
        <f>Calculator!B39</f>
        <v>0</v>
      </c>
    </row>
    <row r="13" spans="1:4" ht="16.5" customHeight="1" x14ac:dyDescent="0.2">
      <c r="A13" s="5" t="s">
        <v>374</v>
      </c>
      <c r="B13" s="8" t="s">
        <v>190</v>
      </c>
      <c r="C13" s="7">
        <f>Calculator!B40</f>
        <v>0</v>
      </c>
    </row>
    <row r="14" spans="1:4" ht="16.5" customHeight="1" x14ac:dyDescent="0.2">
      <c r="A14" s="12" t="s">
        <v>375</v>
      </c>
      <c r="B14" s="8" t="s">
        <v>197</v>
      </c>
      <c r="C14" s="7">
        <f>SUM(C11:C13)</f>
        <v>0</v>
      </c>
    </row>
    <row r="15" spans="1:4" ht="69.75" customHeight="1" x14ac:dyDescent="0.25">
      <c r="A15" s="4" t="s">
        <v>376</v>
      </c>
      <c r="B15" s="13" t="s">
        <v>197</v>
      </c>
      <c r="C15" s="4">
        <f>C9-C14</f>
        <v>10115</v>
      </c>
    </row>
    <row r="16" spans="1:4" ht="16.5" customHeight="1" x14ac:dyDescent="0.2">
      <c r="A16" s="117" t="s">
        <v>377</v>
      </c>
      <c r="B16" s="118"/>
      <c r="C16" s="119"/>
    </row>
    <row r="17" spans="1:8" ht="16.5" customHeight="1" x14ac:dyDescent="0.2">
      <c r="A17" s="12" t="s">
        <v>378</v>
      </c>
      <c r="B17" s="6"/>
      <c r="C17" s="7">
        <f>Calculator!B41</f>
        <v>0</v>
      </c>
    </row>
    <row r="18" spans="1:8" ht="16.5" customHeight="1" x14ac:dyDescent="0.2">
      <c r="A18" s="12" t="s">
        <v>429</v>
      </c>
      <c r="B18" s="6"/>
      <c r="C18" s="6"/>
    </row>
    <row r="19" spans="1:8" ht="33.75" customHeight="1" x14ac:dyDescent="0.2">
      <c r="A19" s="9" t="s">
        <v>430</v>
      </c>
      <c r="B19" s="10" t="s">
        <v>190</v>
      </c>
      <c r="C19" s="30">
        <f>'Table C1'!B14</f>
        <v>0</v>
      </c>
    </row>
    <row r="20" spans="1:8" ht="33.75" customHeight="1" x14ac:dyDescent="0.2">
      <c r="A20" s="9" t="s">
        <v>431</v>
      </c>
      <c r="B20" s="10" t="s">
        <v>190</v>
      </c>
      <c r="C20" s="30">
        <f>'Table C1'!B21</f>
        <v>0</v>
      </c>
      <c r="F20" s="23">
        <f>14085-C20-C19</f>
        <v>14085</v>
      </c>
      <c r="H20">
        <f>131448-H21</f>
        <v>51483</v>
      </c>
    </row>
    <row r="21" spans="1:8" ht="69.75" customHeight="1" x14ac:dyDescent="0.25">
      <c r="A21" s="4" t="s">
        <v>432</v>
      </c>
      <c r="B21" s="13" t="s">
        <v>190</v>
      </c>
      <c r="C21" s="4" t="e">
        <f>VLOOKUP(Calculator!B51,'Table C2,C3,C4'!E2:G20,IF(OR(Calculator!B52=Calculator!E52,Calculator!B52=Calculator!F52),2,3),FALSE)</f>
        <v>#N/A</v>
      </c>
      <c r="F21" t="e">
        <f>82750-C21</f>
        <v>#N/A</v>
      </c>
      <c r="H21">
        <f>4890+69670+5405</f>
        <v>79965</v>
      </c>
    </row>
    <row r="22" spans="1:8" ht="139.5" customHeight="1" x14ac:dyDescent="0.25">
      <c r="A22" s="86" t="s">
        <v>433</v>
      </c>
      <c r="B22" s="13" t="s">
        <v>190</v>
      </c>
      <c r="C22" s="4">
        <f>IF(OR(Calculator!B52=Calculator!E52,Calculator!B52=Calculator!F52),MIN((SUM(Calculator!B42:B45))*0.35,5000),MIN(Calculator!B42*0.35,5000))</f>
        <v>0</v>
      </c>
    </row>
    <row r="23" spans="1:8" ht="15" x14ac:dyDescent="0.2">
      <c r="A23" s="12" t="s">
        <v>434</v>
      </c>
      <c r="B23" s="10" t="s">
        <v>197</v>
      </c>
      <c r="C23" s="105" t="e">
        <f>SUM(C17:C22)</f>
        <v>#N/A</v>
      </c>
      <c r="F23" t="e">
        <f>124386-C23</f>
        <v>#N/A</v>
      </c>
    </row>
    <row r="24" spans="1:8" ht="15" x14ac:dyDescent="0.2">
      <c r="A24" s="117" t="s">
        <v>435</v>
      </c>
      <c r="B24" s="118"/>
      <c r="C24" s="119"/>
    </row>
    <row r="25" spans="1:8" ht="15" x14ac:dyDescent="0.2">
      <c r="A25" s="12" t="s">
        <v>385</v>
      </c>
      <c r="B25" s="6"/>
      <c r="C25" s="7">
        <f>C15</f>
        <v>10115</v>
      </c>
    </row>
    <row r="26" spans="1:8" ht="15" x14ac:dyDescent="0.2">
      <c r="A26" s="12" t="s">
        <v>386</v>
      </c>
      <c r="B26" s="8" t="s">
        <v>218</v>
      </c>
      <c r="C26" s="7" t="e">
        <f>C23</f>
        <v>#N/A</v>
      </c>
    </row>
    <row r="27" spans="1:8" ht="30" x14ac:dyDescent="0.2">
      <c r="A27" s="4" t="s">
        <v>436</v>
      </c>
      <c r="B27" s="10" t="s">
        <v>197</v>
      </c>
      <c r="C27" s="11" t="e">
        <f>C25-C26</f>
        <v>#N/A</v>
      </c>
      <c r="F27">
        <f>58894+1663</f>
        <v>60557</v>
      </c>
    </row>
    <row r="28" spans="1:8" ht="15.75" x14ac:dyDescent="0.2">
      <c r="A28" s="120" t="s">
        <v>265</v>
      </c>
      <c r="B28" s="120"/>
      <c r="C28" s="120"/>
      <c r="D28" s="120"/>
    </row>
    <row r="29" spans="1:8" ht="15" x14ac:dyDescent="0.2">
      <c r="A29" s="12" t="s">
        <v>221</v>
      </c>
      <c r="B29" s="6"/>
      <c r="C29" s="7">
        <f>Calculator!B46</f>
        <v>0</v>
      </c>
    </row>
    <row r="30" spans="1:8" ht="15" x14ac:dyDescent="0.2">
      <c r="A30" s="12" t="s">
        <v>437</v>
      </c>
      <c r="B30" s="14" t="s">
        <v>190</v>
      </c>
      <c r="C30" s="7">
        <f>Calculator!B47</f>
        <v>0</v>
      </c>
    </row>
    <row r="31" spans="1:8" ht="75" x14ac:dyDescent="0.25">
      <c r="A31" s="4" t="s">
        <v>438</v>
      </c>
      <c r="B31" s="13" t="s">
        <v>190</v>
      </c>
      <c r="C31" s="7">
        <f>Calculator!B48</f>
        <v>0</v>
      </c>
    </row>
    <row r="32" spans="1:8" ht="45" x14ac:dyDescent="0.25">
      <c r="A32" s="4" t="s">
        <v>439</v>
      </c>
      <c r="B32" s="13" t="s">
        <v>190</v>
      </c>
      <c r="C32" s="58">
        <f>'Table C2,C3,C4'!O3</f>
        <v>0</v>
      </c>
    </row>
    <row r="33" spans="1:4" ht="15" x14ac:dyDescent="0.2">
      <c r="A33" s="12" t="s">
        <v>225</v>
      </c>
      <c r="B33" s="8" t="s">
        <v>197</v>
      </c>
      <c r="C33" s="7">
        <f>SUM(C29:C32)</f>
        <v>0</v>
      </c>
    </row>
    <row r="34" spans="1:4" ht="15" x14ac:dyDescent="0.2">
      <c r="A34" s="12" t="s">
        <v>440</v>
      </c>
      <c r="B34" s="8" t="s">
        <v>218</v>
      </c>
      <c r="C34" s="7">
        <f>VLOOKUP(Calculator!C53,'Tables C5,C6'!A3:C43,IF(OR(Calculator!B52=Calculator!E52,Calculator!B52=Calculator!F52),2,3),TRUE)</f>
        <v>0</v>
      </c>
    </row>
    <row r="35" spans="1:4" ht="15" x14ac:dyDescent="0.2">
      <c r="A35" s="88" t="s">
        <v>441</v>
      </c>
      <c r="B35" s="10" t="s">
        <v>197</v>
      </c>
      <c r="C35" s="11">
        <f>C33-C34</f>
        <v>0</v>
      </c>
    </row>
    <row r="36" spans="1:4" ht="15" x14ac:dyDescent="0.2">
      <c r="A36" s="12" t="s">
        <v>442</v>
      </c>
      <c r="B36" s="8" t="s">
        <v>228</v>
      </c>
      <c r="C36" s="15">
        <v>7.0000000000000007E-2</v>
      </c>
    </row>
    <row r="37" spans="1:4" ht="45" x14ac:dyDescent="0.25">
      <c r="A37" s="4" t="s">
        <v>443</v>
      </c>
      <c r="B37" s="13" t="s">
        <v>197</v>
      </c>
      <c r="C37" s="4">
        <f>IF(Calculator!O20="No",0,C35*C36)</f>
        <v>0</v>
      </c>
    </row>
    <row r="38" spans="1:4" ht="15.75" x14ac:dyDescent="0.2">
      <c r="A38" s="120" t="s">
        <v>399</v>
      </c>
      <c r="B38" s="120"/>
      <c r="C38" s="120"/>
      <c r="D38" s="120"/>
    </row>
    <row r="39" spans="1:4" ht="30" x14ac:dyDescent="0.2">
      <c r="A39" s="4" t="s">
        <v>444</v>
      </c>
      <c r="B39" s="21"/>
      <c r="C39" s="64" t="e">
        <f>C27</f>
        <v>#N/A</v>
      </c>
    </row>
    <row r="40" spans="1:4" ht="15" x14ac:dyDescent="0.2">
      <c r="A40" s="12" t="s">
        <v>445</v>
      </c>
      <c r="B40" s="14" t="s">
        <v>190</v>
      </c>
      <c r="C40" s="7">
        <f>C37</f>
        <v>0</v>
      </c>
    </row>
    <row r="41" spans="1:4" ht="30" x14ac:dyDescent="0.2">
      <c r="A41" s="4" t="s">
        <v>446</v>
      </c>
      <c r="B41" s="10" t="s">
        <v>197</v>
      </c>
      <c r="C41" s="11" t="e">
        <f>C39+C40</f>
        <v>#N/A</v>
      </c>
    </row>
    <row r="42" spans="1:4" ht="15" x14ac:dyDescent="0.2">
      <c r="A42" s="12" t="s">
        <v>447</v>
      </c>
      <c r="B42" s="8" t="s">
        <v>197</v>
      </c>
      <c r="C42" s="48" t="e">
        <f>'Tables C5,C6'!M2</f>
        <v>#N/A</v>
      </c>
    </row>
    <row r="43" spans="1:4" ht="75" x14ac:dyDescent="0.25">
      <c r="A43" s="4" t="s">
        <v>448</v>
      </c>
      <c r="B43" s="13" t="s">
        <v>197</v>
      </c>
      <c r="C43" s="52" t="e">
        <f>MAX(-1500,C42)</f>
        <v>#N/A</v>
      </c>
    </row>
  </sheetData>
  <mergeCells count="7">
    <mergeCell ref="A28:D28"/>
    <mergeCell ref="A38:D38"/>
    <mergeCell ref="A1:D1"/>
    <mergeCell ref="A2:C2"/>
    <mergeCell ref="A10:C10"/>
    <mergeCell ref="A16:C16"/>
    <mergeCell ref="A24:C24"/>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2">
    <tabColor rgb="FF00B050"/>
  </sheetPr>
  <dimension ref="A1:I21"/>
  <sheetViews>
    <sheetView topLeftCell="A4" workbookViewId="0">
      <selection activeCell="L18" sqref="L18"/>
    </sheetView>
  </sheetViews>
  <sheetFormatPr defaultRowHeight="12.75" x14ac:dyDescent="0.2"/>
  <cols>
    <col min="1" max="1" width="25.83203125" customWidth="1"/>
    <col min="2" max="2" width="82.83203125" customWidth="1"/>
    <col min="3" max="3" width="2.83203125" customWidth="1"/>
    <col min="4" max="4" width="10.5" bestFit="1" customWidth="1"/>
    <col min="5" max="5" width="10.33203125" bestFit="1" customWidth="1"/>
    <col min="6" max="6" width="16.83203125" bestFit="1" customWidth="1"/>
    <col min="7" max="7" width="18.1640625" bestFit="1" customWidth="1"/>
    <col min="8" max="8" width="19.6640625" bestFit="1" customWidth="1"/>
    <col min="9" max="9" width="24.33203125" bestFit="1" customWidth="1"/>
  </cols>
  <sheetData>
    <row r="1" spans="1:9" ht="54.95" customHeight="1" x14ac:dyDescent="0.2">
      <c r="A1" s="121" t="s">
        <v>449</v>
      </c>
      <c r="B1" s="121"/>
      <c r="C1" s="121"/>
    </row>
    <row r="2" spans="1:9" ht="16.5" customHeight="1" x14ac:dyDescent="0.2">
      <c r="A2" s="3" t="s">
        <v>278</v>
      </c>
      <c r="B2" s="3" t="s">
        <v>279</v>
      </c>
    </row>
    <row r="3" spans="1:9" ht="198" customHeight="1" x14ac:dyDescent="0.2">
      <c r="A3" s="12" t="s">
        <v>280</v>
      </c>
      <c r="B3" s="4" t="s">
        <v>450</v>
      </c>
      <c r="E3">
        <f>125000*1.45%</f>
        <v>1812.4999999999998</v>
      </c>
      <c r="F3">
        <f>898094-125000</f>
        <v>773094</v>
      </c>
      <c r="G3">
        <f>F3*2.35%</f>
        <v>18167.708999999999</v>
      </c>
      <c r="H3">
        <f>G3+E3</f>
        <v>19980.208999999999</v>
      </c>
    </row>
    <row r="4" spans="1:9" ht="146.1" customHeight="1" x14ac:dyDescent="0.2">
      <c r="A4" s="12" t="s">
        <v>282</v>
      </c>
      <c r="B4" s="12" t="s">
        <v>451</v>
      </c>
      <c r="H4">
        <f>H3+9114</f>
        <v>29094.208999999999</v>
      </c>
    </row>
    <row r="5" spans="1:9" ht="126" customHeight="1" x14ac:dyDescent="0.2">
      <c r="A5" s="123" t="s">
        <v>284</v>
      </c>
      <c r="B5" s="121"/>
      <c r="C5" s="121"/>
    </row>
    <row r="6" spans="1:9" x14ac:dyDescent="0.2">
      <c r="A6" s="87" t="s">
        <v>406</v>
      </c>
      <c r="D6" t="s">
        <v>286</v>
      </c>
      <c r="E6" t="s">
        <v>158</v>
      </c>
      <c r="F6" t="s">
        <v>162</v>
      </c>
      <c r="G6" t="s">
        <v>157</v>
      </c>
      <c r="H6" t="s">
        <v>163</v>
      </c>
      <c r="I6" t="s">
        <v>164</v>
      </c>
    </row>
    <row r="7" spans="1:9" x14ac:dyDescent="0.2">
      <c r="A7" s="87" t="s">
        <v>407</v>
      </c>
      <c r="B7" t="str">
        <f>Calculator!B32</f>
        <v>Single</v>
      </c>
      <c r="D7" t="s">
        <v>288</v>
      </c>
      <c r="E7" s="22">
        <f>IF(B11&lt;B8,B11*1.45%,((B11-B8)*2.35%)+(B8*1.45%))</f>
        <v>0</v>
      </c>
      <c r="F7" s="22">
        <f>IF(B11&lt;B8,B11*1.45%,((B11-B8)*2.35%)+(B8*1.45%))</f>
        <v>0</v>
      </c>
      <c r="G7" s="22">
        <f>IF(B13&lt;B9,B13*1.45%,((B13-B9)*2.35%)+(B9*1.45%))</f>
        <v>0</v>
      </c>
      <c r="H7" s="22">
        <f>(IF(B11&lt;B10,B11*1.45%,((B11-B10)*2.35%)+(B10*1.45%)))+(IF(B12&lt;B10,B12*1.45%,((B12-B10)*2.35%)+(B10*1.45%)))</f>
        <v>0</v>
      </c>
      <c r="I7" s="22">
        <f>IF(B11&lt;B8,B11*1.45%,((B11-B8)*2.35%)+(B8*1.45%))</f>
        <v>0</v>
      </c>
    </row>
    <row r="8" spans="1:9" x14ac:dyDescent="0.2">
      <c r="A8" s="87" t="s">
        <v>408</v>
      </c>
      <c r="B8" s="37">
        <v>200000</v>
      </c>
      <c r="D8" t="s">
        <v>290</v>
      </c>
      <c r="E8" s="22">
        <f>MIN(B11*6.2%,B18)</f>
        <v>0</v>
      </c>
      <c r="F8" s="22">
        <f>MIN(B11*6.2%,B18)</f>
        <v>0</v>
      </c>
      <c r="G8" s="22">
        <f>MIN(B16*B13,B20)</f>
        <v>0</v>
      </c>
      <c r="H8" s="22">
        <f>MIN(B16*B13,B20)</f>
        <v>0</v>
      </c>
      <c r="I8" s="22">
        <f>MIN(B11*6.2%,B18)</f>
        <v>0</v>
      </c>
    </row>
    <row r="9" spans="1:9" x14ac:dyDescent="0.2">
      <c r="A9" s="87" t="s">
        <v>409</v>
      </c>
      <c r="B9" s="108">
        <v>250000</v>
      </c>
      <c r="G9" s="23"/>
    </row>
    <row r="10" spans="1:9" x14ac:dyDescent="0.2">
      <c r="A10" s="87" t="s">
        <v>410</v>
      </c>
      <c r="B10" s="37">
        <v>125000</v>
      </c>
    </row>
    <row r="11" spans="1:9" x14ac:dyDescent="0.2">
      <c r="A11" s="87" t="s">
        <v>411</v>
      </c>
      <c r="B11" s="22">
        <f>Calculator!B42</f>
        <v>0</v>
      </c>
      <c r="G11" s="23"/>
    </row>
    <row r="12" spans="1:9" x14ac:dyDescent="0.2">
      <c r="A12" s="87" t="s">
        <v>412</v>
      </c>
      <c r="B12" s="22">
        <f>Calculator!B44</f>
        <v>0</v>
      </c>
    </row>
    <row r="13" spans="1:9" x14ac:dyDescent="0.2">
      <c r="A13" s="87" t="s">
        <v>413</v>
      </c>
      <c r="B13" s="22">
        <f>B11+B12</f>
        <v>0</v>
      </c>
    </row>
    <row r="14" spans="1:9" x14ac:dyDescent="0.2">
      <c r="A14" s="87" t="s">
        <v>414</v>
      </c>
      <c r="B14" s="22">
        <f>HLOOKUP(B7,E6:I8,2,FALSE)</f>
        <v>0</v>
      </c>
    </row>
    <row r="15" spans="1:9" x14ac:dyDescent="0.2">
      <c r="A15" s="87" t="s">
        <v>415</v>
      </c>
    </row>
    <row r="16" spans="1:9" x14ac:dyDescent="0.2">
      <c r="A16" t="s">
        <v>297</v>
      </c>
      <c r="B16" s="53">
        <v>6.2E-2</v>
      </c>
    </row>
    <row r="17" spans="1:4" x14ac:dyDescent="0.2">
      <c r="A17" s="87" t="s">
        <v>416</v>
      </c>
      <c r="B17" s="37">
        <v>168600</v>
      </c>
      <c r="D17" s="23"/>
    </row>
    <row r="18" spans="1:4" x14ac:dyDescent="0.2">
      <c r="A18" s="87" t="s">
        <v>417</v>
      </c>
      <c r="B18" s="104">
        <f>B17*6.2%</f>
        <v>10453.200000000001</v>
      </c>
    </row>
    <row r="19" spans="1:4" x14ac:dyDescent="0.2">
      <c r="A19" s="87" t="s">
        <v>418</v>
      </c>
      <c r="B19" s="37">
        <v>337200</v>
      </c>
    </row>
    <row r="20" spans="1:4" x14ac:dyDescent="0.2">
      <c r="A20" s="87" t="s">
        <v>419</v>
      </c>
      <c r="B20" s="37">
        <v>20906</v>
      </c>
    </row>
    <row r="21" spans="1:4" x14ac:dyDescent="0.2">
      <c r="A21" t="s">
        <v>302</v>
      </c>
      <c r="B21" s="22">
        <f>HLOOKUP(B7,E6:I8,3,FALSE)</f>
        <v>0</v>
      </c>
    </row>
  </sheetData>
  <mergeCells count="2">
    <mergeCell ref="A1:C1"/>
    <mergeCell ref="A5:C5"/>
  </mergeCells>
  <hyperlinks>
    <hyperlink ref="A5" r:id="rId1" display="https://www.ssa.gov/oact/cola/cbb.html" xr:uid="{00000000-0004-0000-1300-000000000000}"/>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3">
    <tabColor rgb="FF00B050"/>
  </sheetPr>
  <dimension ref="A1:O20"/>
  <sheetViews>
    <sheetView workbookViewId="0">
      <selection activeCell="J9" sqref="J9"/>
    </sheetView>
  </sheetViews>
  <sheetFormatPr defaultRowHeight="12.75" x14ac:dyDescent="0.2"/>
  <cols>
    <col min="1" max="1" width="54.1640625" customWidth="1"/>
    <col min="2" max="2" width="54.33203125" customWidth="1"/>
    <col min="3" max="3" width="2.83203125" customWidth="1"/>
    <col min="5" max="5" width="30.33203125" bestFit="1" customWidth="1"/>
    <col min="6" max="7" width="37.33203125" bestFit="1" customWidth="1"/>
    <col min="8" max="8" width="9.33203125" customWidth="1"/>
    <col min="9" max="9" width="19.83203125" bestFit="1" customWidth="1"/>
    <col min="10" max="10" width="10.83203125" bestFit="1" customWidth="1"/>
    <col min="11" max="11" width="9.83203125" bestFit="1" customWidth="1"/>
    <col min="12" max="13" width="13" bestFit="1" customWidth="1"/>
    <col min="14" max="14" width="34.83203125" bestFit="1" customWidth="1"/>
    <col min="15" max="15" width="12.33203125" bestFit="1" customWidth="1"/>
  </cols>
  <sheetData>
    <row r="1" spans="1:15" ht="18" customHeight="1" x14ac:dyDescent="0.2">
      <c r="A1" s="120" t="s">
        <v>452</v>
      </c>
      <c r="B1" s="120"/>
      <c r="C1" s="120"/>
      <c r="E1" s="60" t="s">
        <v>453</v>
      </c>
      <c r="F1" s="60" t="s">
        <v>454</v>
      </c>
      <c r="G1" s="60" t="s">
        <v>455</v>
      </c>
    </row>
    <row r="2" spans="1:15" ht="16.5" customHeight="1" x14ac:dyDescent="0.2">
      <c r="A2" s="3" t="s">
        <v>453</v>
      </c>
      <c r="B2" s="3" t="s">
        <v>312</v>
      </c>
      <c r="E2" s="61">
        <v>2</v>
      </c>
      <c r="F2" s="61">
        <v>0</v>
      </c>
      <c r="G2" s="62">
        <f>B9</f>
        <v>54950</v>
      </c>
      <c r="I2" s="87" t="s">
        <v>313</v>
      </c>
      <c r="J2" s="87"/>
      <c r="K2" s="87" t="s">
        <v>314</v>
      </c>
      <c r="L2" s="87" t="s">
        <v>315</v>
      </c>
      <c r="M2" s="87" t="s">
        <v>316</v>
      </c>
      <c r="N2" t="s">
        <v>319</v>
      </c>
      <c r="O2" s="22">
        <f>Calculator!B49</f>
        <v>0</v>
      </c>
    </row>
    <row r="3" spans="1:15" ht="16.5" customHeight="1" x14ac:dyDescent="0.2">
      <c r="A3" s="18">
        <v>3</v>
      </c>
      <c r="B3" s="109">
        <v>57730</v>
      </c>
      <c r="E3" s="63">
        <v>3</v>
      </c>
      <c r="F3" s="62">
        <f>B3</f>
        <v>57730</v>
      </c>
      <c r="G3" s="62">
        <f t="shared" ref="G3:G6" si="0">B10</f>
        <v>68430</v>
      </c>
      <c r="I3">
        <v>0</v>
      </c>
      <c r="J3">
        <v>0</v>
      </c>
      <c r="K3" s="34">
        <v>0</v>
      </c>
      <c r="L3" s="22">
        <v>0</v>
      </c>
      <c r="M3" s="22">
        <v>0</v>
      </c>
      <c r="N3" t="s">
        <v>320</v>
      </c>
      <c r="O3" s="23">
        <f>(VLOOKUP(O2,I3:M8,5,TRUE))+(O2-(VLOOKUP(O2,I3:M8,4,TRUE)))*(VLOOKUP(O2,I3:M8,3,TRUE))</f>
        <v>0</v>
      </c>
    </row>
    <row r="4" spans="1:15" ht="16.5" customHeight="1" x14ac:dyDescent="0.2">
      <c r="A4" s="18">
        <v>4</v>
      </c>
      <c r="B4" s="109">
        <v>71280</v>
      </c>
      <c r="E4" s="63">
        <v>4</v>
      </c>
      <c r="F4" s="62">
        <f t="shared" ref="F4:F6" si="1">B4</f>
        <v>71280</v>
      </c>
      <c r="G4" s="62">
        <f t="shared" si="0"/>
        <v>84480</v>
      </c>
      <c r="I4">
        <v>1</v>
      </c>
      <c r="J4" s="36">
        <v>175000</v>
      </c>
      <c r="K4" s="34">
        <v>0.4</v>
      </c>
      <c r="L4" s="22">
        <v>0</v>
      </c>
      <c r="M4" s="22">
        <v>0</v>
      </c>
      <c r="O4" s="23"/>
    </row>
    <row r="5" spans="1:15" ht="16.5" customHeight="1" x14ac:dyDescent="0.2">
      <c r="A5" s="18">
        <v>5</v>
      </c>
      <c r="B5" s="109">
        <v>84120</v>
      </c>
      <c r="E5" s="63">
        <v>5</v>
      </c>
      <c r="F5" s="62">
        <f t="shared" si="1"/>
        <v>84120</v>
      </c>
      <c r="G5" s="62">
        <f t="shared" si="0"/>
        <v>99700</v>
      </c>
      <c r="I5">
        <f>J4+1</f>
        <v>175001</v>
      </c>
      <c r="J5" s="36">
        <v>520000</v>
      </c>
      <c r="K5" s="34">
        <v>0.5</v>
      </c>
      <c r="L5" s="22">
        <f>J4</f>
        <v>175000</v>
      </c>
      <c r="M5" s="37">
        <v>70000</v>
      </c>
    </row>
    <row r="6" spans="1:15" ht="16.5" customHeight="1" x14ac:dyDescent="0.2">
      <c r="A6" s="18">
        <v>6</v>
      </c>
      <c r="B6" s="109">
        <v>98370</v>
      </c>
      <c r="E6" s="63">
        <v>6</v>
      </c>
      <c r="F6" s="62">
        <f t="shared" si="1"/>
        <v>98370</v>
      </c>
      <c r="G6" s="62">
        <f t="shared" si="0"/>
        <v>116590</v>
      </c>
      <c r="I6">
        <f>J5+1</f>
        <v>520001</v>
      </c>
      <c r="J6" s="36">
        <v>870000</v>
      </c>
      <c r="K6" s="34">
        <v>0.6</v>
      </c>
      <c r="L6" s="22">
        <f t="shared" ref="L6:L7" si="2">J5</f>
        <v>520000</v>
      </c>
      <c r="M6" s="37">
        <v>242500</v>
      </c>
      <c r="O6" s="23"/>
    </row>
    <row r="7" spans="1:15" ht="35.1" customHeight="1" x14ac:dyDescent="0.2">
      <c r="A7" s="144" t="s">
        <v>456</v>
      </c>
      <c r="B7" s="121"/>
      <c r="C7" s="121"/>
      <c r="E7" s="61">
        <v>7</v>
      </c>
      <c r="F7" s="39">
        <f>F6+11110</f>
        <v>109480</v>
      </c>
      <c r="G7" s="39">
        <f>G6+13180</f>
        <v>129770</v>
      </c>
      <c r="I7">
        <f>J6+1</f>
        <v>870001</v>
      </c>
      <c r="J7">
        <v>999999999</v>
      </c>
      <c r="K7" s="34">
        <v>1</v>
      </c>
      <c r="L7" s="22">
        <f t="shared" si="2"/>
        <v>870000</v>
      </c>
      <c r="M7" s="37">
        <v>452500</v>
      </c>
      <c r="O7" s="23"/>
    </row>
    <row r="8" spans="1:15" ht="16.5" customHeight="1" x14ac:dyDescent="0.2">
      <c r="A8" s="3" t="s">
        <v>457</v>
      </c>
      <c r="B8" s="3" t="s">
        <v>312</v>
      </c>
      <c r="E8" s="63">
        <v>8</v>
      </c>
      <c r="F8" s="39">
        <f t="shared" ref="F8:F20" si="3">F7+11110</f>
        <v>120590</v>
      </c>
      <c r="G8" s="39">
        <f t="shared" ref="G8:G20" si="4">G7+13180</f>
        <v>142950</v>
      </c>
    </row>
    <row r="9" spans="1:15" ht="16.5" customHeight="1" x14ac:dyDescent="0.2">
      <c r="A9" s="18">
        <v>2</v>
      </c>
      <c r="B9" s="109">
        <v>54950</v>
      </c>
      <c r="E9" s="63">
        <v>9</v>
      </c>
      <c r="F9" s="39">
        <f t="shared" si="3"/>
        <v>131700</v>
      </c>
      <c r="G9" s="39">
        <f t="shared" si="4"/>
        <v>156130</v>
      </c>
    </row>
    <row r="10" spans="1:15" ht="16.5" customHeight="1" x14ac:dyDescent="0.2">
      <c r="A10" s="18">
        <v>3</v>
      </c>
      <c r="B10" s="109">
        <v>68430</v>
      </c>
      <c r="E10" s="63">
        <v>10</v>
      </c>
      <c r="F10" s="39">
        <f t="shared" si="3"/>
        <v>142810</v>
      </c>
      <c r="G10" s="39">
        <f t="shared" si="4"/>
        <v>169310</v>
      </c>
    </row>
    <row r="11" spans="1:15" ht="16.5" customHeight="1" x14ac:dyDescent="0.2">
      <c r="A11" s="18">
        <v>4</v>
      </c>
      <c r="B11" s="109">
        <v>84480</v>
      </c>
      <c r="E11" s="63">
        <v>11</v>
      </c>
      <c r="F11" s="39">
        <f t="shared" si="3"/>
        <v>153920</v>
      </c>
      <c r="G11" s="39">
        <f t="shared" si="4"/>
        <v>182490</v>
      </c>
    </row>
    <row r="12" spans="1:15" ht="16.5" customHeight="1" x14ac:dyDescent="0.2">
      <c r="A12" s="18">
        <v>5</v>
      </c>
      <c r="B12" s="109">
        <v>99700</v>
      </c>
      <c r="E12" s="61">
        <v>12</v>
      </c>
      <c r="F12" s="39">
        <f t="shared" si="3"/>
        <v>165030</v>
      </c>
      <c r="G12" s="39">
        <f t="shared" si="4"/>
        <v>195670</v>
      </c>
    </row>
    <row r="13" spans="1:15" ht="16.5" customHeight="1" x14ac:dyDescent="0.2">
      <c r="A13" s="18">
        <v>6</v>
      </c>
      <c r="B13" s="109">
        <v>116590</v>
      </c>
      <c r="E13" s="63">
        <v>13</v>
      </c>
      <c r="F13" s="39">
        <f t="shared" si="3"/>
        <v>176140</v>
      </c>
      <c r="G13" s="39">
        <f t="shared" si="4"/>
        <v>208850</v>
      </c>
    </row>
    <row r="14" spans="1:15" ht="35.1" customHeight="1" x14ac:dyDescent="0.2">
      <c r="A14" s="144" t="s">
        <v>458</v>
      </c>
      <c r="B14" s="121"/>
      <c r="C14" s="121"/>
      <c r="E14" s="63">
        <v>14</v>
      </c>
      <c r="F14" s="39">
        <f t="shared" si="3"/>
        <v>187250</v>
      </c>
      <c r="G14" s="39">
        <f t="shared" si="4"/>
        <v>222030</v>
      </c>
    </row>
    <row r="15" spans="1:15" ht="16.5" customHeight="1" x14ac:dyDescent="0.2">
      <c r="A15" s="3" t="s">
        <v>322</v>
      </c>
      <c r="B15" s="3" t="s">
        <v>323</v>
      </c>
      <c r="E15" s="63">
        <v>15</v>
      </c>
      <c r="F15" s="39">
        <f t="shared" si="3"/>
        <v>198360</v>
      </c>
      <c r="G15" s="39">
        <f t="shared" si="4"/>
        <v>235210</v>
      </c>
    </row>
    <row r="16" spans="1:15" ht="16.5" customHeight="1" x14ac:dyDescent="0.2">
      <c r="A16" s="12" t="s">
        <v>459</v>
      </c>
      <c r="B16" s="20">
        <v>0</v>
      </c>
      <c r="E16" s="63">
        <v>16</v>
      </c>
      <c r="F16" s="39">
        <f t="shared" si="3"/>
        <v>209470</v>
      </c>
      <c r="G16" s="39">
        <f t="shared" si="4"/>
        <v>248390</v>
      </c>
    </row>
    <row r="17" spans="1:7" ht="16.5" customHeight="1" x14ac:dyDescent="0.2">
      <c r="A17" s="12" t="s">
        <v>325</v>
      </c>
      <c r="B17" s="20" t="s">
        <v>460</v>
      </c>
      <c r="E17" s="61">
        <v>17</v>
      </c>
      <c r="F17" s="39">
        <f t="shared" si="3"/>
        <v>220580</v>
      </c>
      <c r="G17" s="39">
        <f t="shared" si="4"/>
        <v>261570</v>
      </c>
    </row>
    <row r="18" spans="1:7" ht="16.5" customHeight="1" x14ac:dyDescent="0.2">
      <c r="A18" s="12" t="s">
        <v>327</v>
      </c>
      <c r="B18" s="20" t="s">
        <v>328</v>
      </c>
      <c r="E18" s="63">
        <v>18</v>
      </c>
      <c r="F18" s="39">
        <f t="shared" si="3"/>
        <v>231690</v>
      </c>
      <c r="G18" s="39">
        <f t="shared" si="4"/>
        <v>274750</v>
      </c>
    </row>
    <row r="19" spans="1:7" ht="16.5" customHeight="1" x14ac:dyDescent="0.2">
      <c r="A19" s="12" t="s">
        <v>421</v>
      </c>
      <c r="B19" s="20" t="s">
        <v>330</v>
      </c>
      <c r="E19" s="63">
        <v>19</v>
      </c>
      <c r="F19" s="39">
        <f t="shared" si="3"/>
        <v>242800</v>
      </c>
      <c r="G19" s="39">
        <f t="shared" si="4"/>
        <v>287930</v>
      </c>
    </row>
    <row r="20" spans="1:7" ht="16.5" customHeight="1" x14ac:dyDescent="0.2">
      <c r="A20" s="12" t="s">
        <v>331</v>
      </c>
      <c r="B20" s="20" t="s">
        <v>332</v>
      </c>
      <c r="E20" s="63">
        <v>20</v>
      </c>
      <c r="F20" s="39">
        <f t="shared" si="3"/>
        <v>253910</v>
      </c>
      <c r="G20" s="39">
        <f t="shared" si="4"/>
        <v>301110</v>
      </c>
    </row>
  </sheetData>
  <mergeCells count="3">
    <mergeCell ref="A1:C1"/>
    <mergeCell ref="A7:C7"/>
    <mergeCell ref="A14:C14"/>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4">
    <tabColor rgb="FF00B050"/>
  </sheetPr>
  <dimension ref="A1:M55"/>
  <sheetViews>
    <sheetView topLeftCell="A38" workbookViewId="0">
      <selection activeCell="I9" sqref="I9"/>
    </sheetView>
  </sheetViews>
  <sheetFormatPr defaultRowHeight="12.75" x14ac:dyDescent="0.2"/>
  <cols>
    <col min="1" max="1" width="18" customWidth="1"/>
    <col min="2" max="2" width="17.83203125" customWidth="1"/>
    <col min="3" max="4" width="18" customWidth="1"/>
    <col min="5" max="5" width="14.1640625" bestFit="1" customWidth="1"/>
    <col min="6" max="6" width="13.33203125" bestFit="1" customWidth="1"/>
    <col min="7" max="7" width="4.6640625" bestFit="1" customWidth="1"/>
    <col min="8" max="8" width="11.6640625" bestFit="1" customWidth="1"/>
    <col min="9" max="9" width="9" bestFit="1" customWidth="1"/>
    <col min="10" max="10" width="8.5" bestFit="1" customWidth="1"/>
    <col min="12" max="12" width="18" bestFit="1" customWidth="1"/>
    <col min="13" max="13" width="12" bestFit="1" customWidth="1"/>
  </cols>
  <sheetData>
    <row r="1" spans="1:13" ht="18" customHeight="1" x14ac:dyDescent="0.2">
      <c r="A1" s="148" t="s">
        <v>461</v>
      </c>
      <c r="B1" s="148"/>
      <c r="C1" s="148"/>
      <c r="D1" s="65"/>
      <c r="E1" t="s">
        <v>340</v>
      </c>
      <c r="F1" t="s">
        <v>341</v>
      </c>
      <c r="G1" t="s">
        <v>342</v>
      </c>
      <c r="H1" t="s">
        <v>343</v>
      </c>
      <c r="I1" t="s">
        <v>316</v>
      </c>
      <c r="J1" t="s">
        <v>344</v>
      </c>
      <c r="L1" s="87" t="s">
        <v>462</v>
      </c>
      <c r="M1" s="22" t="e">
        <f>'Formula C'!C41</f>
        <v>#N/A</v>
      </c>
    </row>
    <row r="2" spans="1:13" ht="41.25" customHeight="1" x14ac:dyDescent="0.2">
      <c r="A2" s="4" t="s">
        <v>463</v>
      </c>
      <c r="B2" s="4" t="s">
        <v>464</v>
      </c>
      <c r="C2" s="4" t="s">
        <v>465</v>
      </c>
      <c r="E2" s="25">
        <v>-999999999</v>
      </c>
      <c r="F2" s="25">
        <v>-6820</v>
      </c>
      <c r="H2" s="25"/>
      <c r="I2" s="25"/>
      <c r="J2" s="25">
        <v>-1826</v>
      </c>
      <c r="K2" s="25"/>
      <c r="L2" s="87" t="s">
        <v>466</v>
      </c>
      <c r="M2" s="23" t="e">
        <f>IF(M1&lt;F2,J2,(VLOOKUP(M1,E2:J8,3,TRUE)*(M1-VLOOKUP(M1,E2:J8,4,TRUE)))+VLOOKUP(M1,E2:J8,5,TRUE))</f>
        <v>#N/A</v>
      </c>
    </row>
    <row r="3" spans="1:13" ht="16.5" customHeight="1" x14ac:dyDescent="0.2">
      <c r="A3" s="12">
        <v>0</v>
      </c>
      <c r="B3" s="20">
        <v>0</v>
      </c>
      <c r="C3" s="20">
        <v>0</v>
      </c>
      <c r="E3" s="25">
        <v>-8500</v>
      </c>
      <c r="F3" s="25">
        <v>21800</v>
      </c>
      <c r="G3" s="34">
        <v>0.22</v>
      </c>
      <c r="H3" s="25"/>
      <c r="I3" s="25"/>
      <c r="J3" s="25"/>
      <c r="K3" s="25"/>
    </row>
    <row r="4" spans="1:13" ht="16.5" customHeight="1" x14ac:dyDescent="0.2">
      <c r="A4" s="18">
        <v>26</v>
      </c>
      <c r="B4" s="20">
        <v>0</v>
      </c>
      <c r="C4" s="20">
        <v>0</v>
      </c>
      <c r="E4" s="25">
        <f>F3+1</f>
        <v>21801</v>
      </c>
      <c r="F4" s="25">
        <v>27300</v>
      </c>
      <c r="G4" s="34">
        <v>0.25</v>
      </c>
      <c r="H4" s="25">
        <f>F3</f>
        <v>21800</v>
      </c>
      <c r="I4" s="106">
        <f>F3*G3</f>
        <v>4796</v>
      </c>
      <c r="J4" s="25"/>
      <c r="K4" s="25"/>
    </row>
    <row r="5" spans="1:13" ht="16.5" customHeight="1" x14ac:dyDescent="0.2">
      <c r="A5" s="18">
        <v>27</v>
      </c>
      <c r="B5" s="20">
        <v>0</v>
      </c>
      <c r="C5" s="20">
        <v>0</v>
      </c>
      <c r="E5" s="25">
        <f t="shared" ref="E5:E8" si="0">F4+1</f>
        <v>27301</v>
      </c>
      <c r="F5" s="25">
        <v>32800</v>
      </c>
      <c r="G5" s="34">
        <v>0.28999999999999998</v>
      </c>
      <c r="H5" s="25">
        <f t="shared" ref="H5:H8" si="1">F4</f>
        <v>27300</v>
      </c>
      <c r="I5" s="106">
        <v>6171</v>
      </c>
      <c r="J5" s="25"/>
      <c r="K5" s="25"/>
    </row>
    <row r="6" spans="1:13" ht="16.5" customHeight="1" x14ac:dyDescent="0.2">
      <c r="A6" s="18">
        <v>28</v>
      </c>
      <c r="B6" s="20">
        <v>0</v>
      </c>
      <c r="C6" s="20">
        <v>0</v>
      </c>
      <c r="E6" s="25">
        <f t="shared" si="0"/>
        <v>32801</v>
      </c>
      <c r="F6" s="25">
        <v>38400</v>
      </c>
      <c r="G6" s="34">
        <v>0.34</v>
      </c>
      <c r="H6" s="25">
        <f t="shared" si="1"/>
        <v>32800</v>
      </c>
      <c r="I6" s="106">
        <v>7766</v>
      </c>
      <c r="J6" s="25"/>
      <c r="K6" s="25"/>
    </row>
    <row r="7" spans="1:13" ht="16.5" customHeight="1" x14ac:dyDescent="0.2">
      <c r="A7" s="18">
        <v>29</v>
      </c>
      <c r="B7" s="20">
        <v>0</v>
      </c>
      <c r="C7" s="20">
        <v>0</v>
      </c>
      <c r="E7" s="25">
        <f t="shared" si="0"/>
        <v>38401</v>
      </c>
      <c r="F7" s="25">
        <v>43900</v>
      </c>
      <c r="G7" s="34">
        <v>0.4</v>
      </c>
      <c r="H7" s="25">
        <f t="shared" si="1"/>
        <v>38400</v>
      </c>
      <c r="I7" s="106">
        <v>9670</v>
      </c>
      <c r="J7" s="25"/>
      <c r="K7" s="25"/>
    </row>
    <row r="8" spans="1:13" ht="16.5" customHeight="1" x14ac:dyDescent="0.2">
      <c r="A8" s="18">
        <v>30</v>
      </c>
      <c r="B8" s="20">
        <v>0</v>
      </c>
      <c r="C8" s="20">
        <v>0</v>
      </c>
      <c r="E8" s="25">
        <f t="shared" si="0"/>
        <v>43901</v>
      </c>
      <c r="F8" s="25">
        <v>999999999</v>
      </c>
      <c r="G8" s="34">
        <v>0.47</v>
      </c>
      <c r="H8" s="25">
        <f t="shared" si="1"/>
        <v>43900</v>
      </c>
      <c r="I8" s="106">
        <v>11870</v>
      </c>
      <c r="J8" s="25"/>
      <c r="K8" s="25"/>
    </row>
    <row r="9" spans="1:13" ht="16.5" customHeight="1" x14ac:dyDescent="0.2">
      <c r="A9" s="18">
        <v>31</v>
      </c>
      <c r="B9" s="20">
        <v>0</v>
      </c>
      <c r="C9" s="20">
        <v>0</v>
      </c>
    </row>
    <row r="10" spans="1:13" ht="16.5" customHeight="1" x14ac:dyDescent="0.2">
      <c r="A10" s="18">
        <v>32</v>
      </c>
      <c r="B10" s="20">
        <v>0</v>
      </c>
      <c r="C10" s="20">
        <v>0</v>
      </c>
    </row>
    <row r="11" spans="1:13" ht="16.5" customHeight="1" x14ac:dyDescent="0.2">
      <c r="A11" s="18">
        <v>33</v>
      </c>
      <c r="B11" s="20">
        <v>0</v>
      </c>
      <c r="C11" s="20">
        <v>0</v>
      </c>
    </row>
    <row r="12" spans="1:13" ht="16.5" customHeight="1" x14ac:dyDescent="0.2">
      <c r="A12" s="18">
        <v>34</v>
      </c>
      <c r="B12" s="20">
        <v>0</v>
      </c>
      <c r="C12" s="20">
        <v>0</v>
      </c>
    </row>
    <row r="13" spans="1:13" ht="16.5" customHeight="1" x14ac:dyDescent="0.2">
      <c r="A13" s="18">
        <v>35</v>
      </c>
      <c r="B13" s="20">
        <v>0</v>
      </c>
      <c r="C13" s="20">
        <v>0</v>
      </c>
    </row>
    <row r="14" spans="1:13" ht="16.5" customHeight="1" x14ac:dyDescent="0.2">
      <c r="A14" s="18">
        <v>36</v>
      </c>
      <c r="B14" s="20">
        <v>0</v>
      </c>
      <c r="C14" s="20">
        <v>0</v>
      </c>
    </row>
    <row r="15" spans="1:13" ht="16.5" customHeight="1" x14ac:dyDescent="0.2">
      <c r="A15" s="18">
        <v>37</v>
      </c>
      <c r="B15" s="20">
        <v>0</v>
      </c>
      <c r="C15" s="20">
        <v>0</v>
      </c>
    </row>
    <row r="16" spans="1:13" ht="16.5" customHeight="1" x14ac:dyDescent="0.2">
      <c r="A16" s="18">
        <v>38</v>
      </c>
      <c r="B16" s="20">
        <v>0</v>
      </c>
      <c r="C16" s="20">
        <v>0</v>
      </c>
    </row>
    <row r="17" spans="1:4" ht="16.5" customHeight="1" x14ac:dyDescent="0.2">
      <c r="A17" s="18">
        <v>39</v>
      </c>
      <c r="B17" s="20">
        <v>0</v>
      </c>
      <c r="C17" s="20">
        <v>0</v>
      </c>
    </row>
    <row r="18" spans="1:4" ht="16.5" customHeight="1" x14ac:dyDescent="0.2">
      <c r="A18" s="18">
        <v>40</v>
      </c>
      <c r="B18" s="20">
        <v>0</v>
      </c>
      <c r="C18" s="20">
        <v>0</v>
      </c>
    </row>
    <row r="19" spans="1:4" ht="16.5" customHeight="1" x14ac:dyDescent="0.2">
      <c r="A19" s="18">
        <v>41</v>
      </c>
      <c r="B19" s="20">
        <v>0</v>
      </c>
      <c r="C19" s="20">
        <v>0</v>
      </c>
    </row>
    <row r="20" spans="1:4" ht="16.5" customHeight="1" x14ac:dyDescent="0.2">
      <c r="A20" s="18">
        <v>42</v>
      </c>
      <c r="B20" s="20">
        <v>0</v>
      </c>
      <c r="C20" s="20">
        <v>0</v>
      </c>
    </row>
    <row r="21" spans="1:4" ht="16.5" customHeight="1" x14ac:dyDescent="0.2">
      <c r="A21" s="18">
        <v>43</v>
      </c>
      <c r="B21" s="20">
        <v>0</v>
      </c>
      <c r="C21" s="20">
        <v>0</v>
      </c>
    </row>
    <row r="22" spans="1:4" ht="16.5" customHeight="1" x14ac:dyDescent="0.2">
      <c r="A22" s="18">
        <v>44</v>
      </c>
      <c r="B22" s="20">
        <v>0</v>
      </c>
      <c r="C22" s="20">
        <v>0</v>
      </c>
    </row>
    <row r="23" spans="1:4" ht="16.5" customHeight="1" x14ac:dyDescent="0.2">
      <c r="A23" s="18">
        <v>45</v>
      </c>
      <c r="B23" s="20">
        <v>0</v>
      </c>
      <c r="C23" s="20">
        <v>0</v>
      </c>
    </row>
    <row r="24" spans="1:4" ht="18" customHeight="1" x14ac:dyDescent="0.2">
      <c r="A24" s="18">
        <v>46</v>
      </c>
      <c r="B24" s="20">
        <v>0</v>
      </c>
      <c r="C24" s="20">
        <v>0</v>
      </c>
      <c r="D24" s="24"/>
    </row>
    <row r="25" spans="1:4" ht="18" customHeight="1" x14ac:dyDescent="0.2">
      <c r="A25" s="18">
        <v>47</v>
      </c>
      <c r="B25" s="20">
        <v>0</v>
      </c>
      <c r="C25" s="20">
        <v>0</v>
      </c>
      <c r="D25" s="24"/>
    </row>
    <row r="26" spans="1:4" ht="18" customHeight="1" x14ac:dyDescent="0.2">
      <c r="A26" s="18">
        <v>48</v>
      </c>
      <c r="B26" s="20">
        <v>0</v>
      </c>
      <c r="C26" s="20">
        <v>0</v>
      </c>
      <c r="D26" s="24"/>
    </row>
    <row r="27" spans="1:4" ht="18" customHeight="1" x14ac:dyDescent="0.2">
      <c r="A27" s="18">
        <v>49</v>
      </c>
      <c r="B27" s="20">
        <v>0</v>
      </c>
      <c r="C27" s="20">
        <v>0</v>
      </c>
      <c r="D27" s="24"/>
    </row>
    <row r="28" spans="1:4" ht="18" customHeight="1" x14ac:dyDescent="0.2">
      <c r="A28" s="18">
        <v>50</v>
      </c>
      <c r="B28" s="20">
        <v>0</v>
      </c>
      <c r="C28" s="20">
        <v>0</v>
      </c>
      <c r="D28" s="24"/>
    </row>
    <row r="29" spans="1:4" ht="18" customHeight="1" x14ac:dyDescent="0.2">
      <c r="A29" s="18">
        <v>51</v>
      </c>
      <c r="B29" s="20">
        <v>0</v>
      </c>
      <c r="C29" s="20">
        <v>0</v>
      </c>
      <c r="D29" s="24"/>
    </row>
    <row r="30" spans="1:4" ht="18" customHeight="1" x14ac:dyDescent="0.2">
      <c r="A30" s="18">
        <v>52</v>
      </c>
      <c r="B30" s="20">
        <v>0</v>
      </c>
      <c r="C30" s="20">
        <v>0</v>
      </c>
      <c r="D30" s="24"/>
    </row>
    <row r="31" spans="1:4" ht="18" customHeight="1" x14ac:dyDescent="0.2">
      <c r="A31" s="18">
        <v>53</v>
      </c>
      <c r="B31" s="20">
        <v>0</v>
      </c>
      <c r="C31" s="20">
        <v>0</v>
      </c>
      <c r="D31" s="24"/>
    </row>
    <row r="32" spans="1:4" ht="18" customHeight="1" x14ac:dyDescent="0.2">
      <c r="A32" s="18">
        <v>54</v>
      </c>
      <c r="B32" s="20">
        <v>0</v>
      </c>
      <c r="C32" s="20">
        <v>0</v>
      </c>
      <c r="D32" s="24"/>
    </row>
    <row r="33" spans="1:7" ht="18" customHeight="1" x14ac:dyDescent="0.2">
      <c r="A33" s="18">
        <v>55</v>
      </c>
      <c r="B33" s="20">
        <v>0</v>
      </c>
      <c r="C33" s="20">
        <v>0</v>
      </c>
      <c r="D33" s="24"/>
    </row>
    <row r="34" spans="1:7" ht="18" customHeight="1" x14ac:dyDescent="0.2">
      <c r="A34" s="18">
        <v>56</v>
      </c>
      <c r="B34" s="20">
        <v>0</v>
      </c>
      <c r="C34" s="20">
        <v>0</v>
      </c>
      <c r="D34" s="24"/>
    </row>
    <row r="35" spans="1:7" ht="18" customHeight="1" x14ac:dyDescent="0.2">
      <c r="A35" s="18">
        <v>57</v>
      </c>
      <c r="B35" s="20">
        <v>0</v>
      </c>
      <c r="C35" s="20">
        <v>0</v>
      </c>
      <c r="D35" s="24"/>
    </row>
    <row r="36" spans="1:7" ht="18" customHeight="1" x14ac:dyDescent="0.2">
      <c r="A36" s="18">
        <v>58</v>
      </c>
      <c r="B36" s="20">
        <v>0</v>
      </c>
      <c r="C36" s="20">
        <v>0</v>
      </c>
      <c r="D36" s="24"/>
    </row>
    <row r="37" spans="1:7" ht="18" customHeight="1" x14ac:dyDescent="0.2">
      <c r="A37" s="18">
        <v>59</v>
      </c>
      <c r="B37" s="20">
        <v>0</v>
      </c>
      <c r="C37" s="20">
        <v>0</v>
      </c>
      <c r="D37" s="24"/>
    </row>
    <row r="38" spans="1:7" ht="18" customHeight="1" x14ac:dyDescent="0.2">
      <c r="A38" s="18">
        <v>60</v>
      </c>
      <c r="B38" s="20">
        <v>0</v>
      </c>
      <c r="C38" s="20">
        <v>0</v>
      </c>
      <c r="D38" s="24"/>
    </row>
    <row r="39" spans="1:7" ht="18" customHeight="1" x14ac:dyDescent="0.2">
      <c r="A39" s="18">
        <v>61</v>
      </c>
      <c r="B39" s="20">
        <v>0</v>
      </c>
      <c r="C39" s="20">
        <v>0</v>
      </c>
      <c r="D39" s="24"/>
    </row>
    <row r="40" spans="1:7" ht="18" customHeight="1" x14ac:dyDescent="0.2">
      <c r="A40" s="18">
        <v>62</v>
      </c>
      <c r="B40" s="20">
        <v>0</v>
      </c>
      <c r="C40" s="20">
        <v>0</v>
      </c>
      <c r="D40" s="24"/>
    </row>
    <row r="41" spans="1:7" ht="18" customHeight="1" x14ac:dyDescent="0.2">
      <c r="A41" s="18">
        <v>63</v>
      </c>
      <c r="B41" s="20">
        <v>0</v>
      </c>
      <c r="C41" s="20">
        <v>0</v>
      </c>
      <c r="D41" s="24"/>
    </row>
    <row r="42" spans="1:7" ht="18" customHeight="1" x14ac:dyDescent="0.2">
      <c r="A42" s="18">
        <v>64</v>
      </c>
      <c r="B42" s="20">
        <v>0</v>
      </c>
      <c r="C42" s="20">
        <v>0</v>
      </c>
      <c r="D42" s="24"/>
    </row>
    <row r="43" spans="1:7" ht="18" customHeight="1" x14ac:dyDescent="0.2">
      <c r="A43" s="12">
        <v>65</v>
      </c>
      <c r="B43" s="20">
        <v>0</v>
      </c>
      <c r="C43" s="20">
        <v>0</v>
      </c>
      <c r="D43" s="24"/>
    </row>
    <row r="44" spans="1:7" ht="18" customHeight="1" x14ac:dyDescent="0.2">
      <c r="A44" s="24"/>
      <c r="B44" s="24"/>
      <c r="C44" s="24"/>
      <c r="D44" s="24"/>
    </row>
    <row r="45" spans="1:7" ht="18" customHeight="1" x14ac:dyDescent="0.2">
      <c r="A45" s="24"/>
      <c r="B45" s="24"/>
      <c r="C45" s="24"/>
      <c r="D45" s="24"/>
    </row>
    <row r="46" spans="1:7" ht="18" customHeight="1" x14ac:dyDescent="0.2">
      <c r="A46" s="24"/>
      <c r="B46" s="24"/>
      <c r="C46" s="24"/>
      <c r="D46" s="24"/>
      <c r="E46" s="24"/>
      <c r="F46" s="24"/>
      <c r="G46" s="24"/>
    </row>
    <row r="47" spans="1:7" ht="18" customHeight="1" x14ac:dyDescent="0.2">
      <c r="A47" s="120" t="s">
        <v>467</v>
      </c>
      <c r="B47" s="120"/>
      <c r="C47" s="120"/>
      <c r="D47" s="120"/>
      <c r="E47" s="120"/>
      <c r="F47" s="120"/>
      <c r="G47" s="120"/>
    </row>
    <row r="48" spans="1:7" ht="16.5" customHeight="1" x14ac:dyDescent="0.2">
      <c r="A48" s="137" t="s">
        <v>468</v>
      </c>
      <c r="B48" s="138"/>
      <c r="C48" s="139"/>
      <c r="D48" s="137" t="s">
        <v>469</v>
      </c>
      <c r="E48" s="138"/>
      <c r="F48" s="139"/>
    </row>
    <row r="49" spans="1:6" ht="16.5" customHeight="1" x14ac:dyDescent="0.2">
      <c r="A49" s="127" t="s">
        <v>470</v>
      </c>
      <c r="B49" s="128"/>
      <c r="C49" s="129"/>
      <c r="D49" s="149">
        <v>-1500</v>
      </c>
      <c r="E49" s="150"/>
      <c r="F49" s="151"/>
    </row>
    <row r="50" spans="1:6" ht="16.5" customHeight="1" x14ac:dyDescent="0.2">
      <c r="A50" s="127" t="s">
        <v>471</v>
      </c>
      <c r="B50" s="128"/>
      <c r="C50" s="129"/>
      <c r="D50" s="127" t="s">
        <v>351</v>
      </c>
      <c r="E50" s="128"/>
      <c r="F50" s="129"/>
    </row>
    <row r="51" spans="1:6" ht="16.5" customHeight="1" x14ac:dyDescent="0.2">
      <c r="A51" s="127" t="s">
        <v>472</v>
      </c>
      <c r="B51" s="128"/>
      <c r="C51" s="129"/>
      <c r="D51" s="145" t="s">
        <v>473</v>
      </c>
      <c r="E51" s="146"/>
      <c r="F51" s="147"/>
    </row>
    <row r="52" spans="1:6" ht="16.5" customHeight="1" x14ac:dyDescent="0.2">
      <c r="A52" s="127" t="s">
        <v>474</v>
      </c>
      <c r="B52" s="128"/>
      <c r="C52" s="129"/>
      <c r="D52" s="145" t="s">
        <v>475</v>
      </c>
      <c r="E52" s="146"/>
      <c r="F52" s="147"/>
    </row>
    <row r="53" spans="1:6" ht="16.5" customHeight="1" x14ac:dyDescent="0.2">
      <c r="A53" s="127" t="s">
        <v>476</v>
      </c>
      <c r="B53" s="128"/>
      <c r="C53" s="129"/>
      <c r="D53" s="145" t="s">
        <v>477</v>
      </c>
      <c r="E53" s="146"/>
      <c r="F53" s="147"/>
    </row>
    <row r="54" spans="1:6" ht="16.5" customHeight="1" x14ac:dyDescent="0.2">
      <c r="A54" s="127" t="s">
        <v>478</v>
      </c>
      <c r="B54" s="128"/>
      <c r="C54" s="129"/>
      <c r="D54" s="145" t="s">
        <v>479</v>
      </c>
      <c r="E54" s="146"/>
      <c r="F54" s="147"/>
    </row>
    <row r="55" spans="1:6" ht="16.5" customHeight="1" x14ac:dyDescent="0.2">
      <c r="A55" s="127" t="s">
        <v>480</v>
      </c>
      <c r="B55" s="128"/>
      <c r="C55" s="129"/>
      <c r="D55" s="145" t="s">
        <v>481</v>
      </c>
      <c r="E55" s="146"/>
      <c r="F55" s="147"/>
    </row>
  </sheetData>
  <mergeCells count="18">
    <mergeCell ref="A1:C1"/>
    <mergeCell ref="A50:C50"/>
    <mergeCell ref="D50:F50"/>
    <mergeCell ref="A51:C51"/>
    <mergeCell ref="D51:F51"/>
    <mergeCell ref="A47:G47"/>
    <mergeCell ref="A48:C48"/>
    <mergeCell ref="D48:F48"/>
    <mergeCell ref="A49:C49"/>
    <mergeCell ref="D49:F49"/>
    <mergeCell ref="A55:C55"/>
    <mergeCell ref="D55:F55"/>
    <mergeCell ref="A52:C52"/>
    <mergeCell ref="D52:F52"/>
    <mergeCell ref="A53:C53"/>
    <mergeCell ref="D53:F53"/>
    <mergeCell ref="A54:C54"/>
    <mergeCell ref="D54:F54"/>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5"/>
  <dimension ref="A1"/>
  <sheetViews>
    <sheetView workbookViewId="0"/>
  </sheetViews>
  <sheetFormatPr defaultRowHeight="12.75" x14ac:dyDescent="0.2"/>
  <cols>
    <col min="1" max="1" width="112" customWidth="1"/>
  </cols>
  <sheetData>
    <row r="1" spans="1:1" ht="391.5" customHeight="1" x14ac:dyDescent="0.2">
      <c r="A1" s="1" t="s">
        <v>482</v>
      </c>
    </row>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D54296-6190-4697-8DF6-2926FAC0B8C2}">
  <sheetPr codeName="Sheet16">
    <tabColor rgb="FF00B050"/>
  </sheetPr>
  <dimension ref="A1:J34"/>
  <sheetViews>
    <sheetView topLeftCell="A25" workbookViewId="0">
      <selection activeCell="B24" sqref="B24"/>
    </sheetView>
  </sheetViews>
  <sheetFormatPr defaultRowHeight="12.75" x14ac:dyDescent="0.2"/>
  <cols>
    <col min="1" max="1" width="24.33203125" bestFit="1" customWidth="1"/>
    <col min="2" max="2" width="15.33203125" bestFit="1" customWidth="1"/>
    <col min="3" max="3" width="24.33203125" bestFit="1" customWidth="1"/>
    <col min="4" max="4" width="15.33203125" bestFit="1" customWidth="1"/>
    <col min="5" max="5" width="24.33203125" bestFit="1" customWidth="1"/>
    <col min="6" max="6" width="15.33203125" bestFit="1" customWidth="1"/>
    <col min="7" max="7" width="22.1640625" bestFit="1" customWidth="1"/>
    <col min="8" max="8" width="12.5" bestFit="1" customWidth="1"/>
    <col min="9" max="9" width="36.33203125" bestFit="1" customWidth="1"/>
    <col min="10" max="10" width="8.83203125" customWidth="1"/>
  </cols>
  <sheetData>
    <row r="1" spans="1:8" x14ac:dyDescent="0.2">
      <c r="A1" s="152" t="s">
        <v>483</v>
      </c>
      <c r="B1" s="153"/>
      <c r="C1" s="154" t="s">
        <v>484</v>
      </c>
      <c r="D1" s="155"/>
      <c r="E1" s="156" t="s">
        <v>485</v>
      </c>
      <c r="F1" s="157"/>
    </row>
    <row r="2" spans="1:8" x14ac:dyDescent="0.2">
      <c r="A2" s="68" t="s">
        <v>486</v>
      </c>
      <c r="B2" s="69" t="s">
        <v>487</v>
      </c>
      <c r="C2" s="71" t="s">
        <v>486</v>
      </c>
      <c r="D2" s="72" t="s">
        <v>487</v>
      </c>
      <c r="E2" s="74" t="s">
        <v>486</v>
      </c>
      <c r="F2" s="75" t="s">
        <v>487</v>
      </c>
    </row>
    <row r="3" spans="1:8" x14ac:dyDescent="0.2">
      <c r="A3" s="68">
        <v>1</v>
      </c>
      <c r="B3" s="110">
        <v>15060</v>
      </c>
      <c r="C3" s="71">
        <v>1</v>
      </c>
      <c r="D3" s="110">
        <v>18810</v>
      </c>
      <c r="E3" s="74">
        <v>1</v>
      </c>
      <c r="F3" s="111">
        <v>17310</v>
      </c>
    </row>
    <row r="4" spans="1:8" x14ac:dyDescent="0.2">
      <c r="A4" s="68">
        <v>2</v>
      </c>
      <c r="B4" s="110">
        <f>B3+5380</f>
        <v>20440</v>
      </c>
      <c r="C4" s="71">
        <v>2</v>
      </c>
      <c r="D4" s="110">
        <f>D3+6730</f>
        <v>25540</v>
      </c>
      <c r="E4" s="74">
        <v>2</v>
      </c>
      <c r="F4" s="111">
        <f>F3+6190</f>
        <v>23500</v>
      </c>
    </row>
    <row r="5" spans="1:8" x14ac:dyDescent="0.2">
      <c r="A5" s="68">
        <v>3</v>
      </c>
      <c r="B5" s="110">
        <f t="shared" ref="B5:B22" si="0">B4+5380</f>
        <v>25820</v>
      </c>
      <c r="C5" s="71">
        <v>3</v>
      </c>
      <c r="D5" s="110">
        <f t="shared" ref="D5:D22" si="1">D4+6730</f>
        <v>32270</v>
      </c>
      <c r="E5" s="74">
        <v>3</v>
      </c>
      <c r="F5" s="111">
        <f t="shared" ref="F5:F22" si="2">F4+6190</f>
        <v>29690</v>
      </c>
    </row>
    <row r="6" spans="1:8" x14ac:dyDescent="0.2">
      <c r="A6" s="68">
        <v>4</v>
      </c>
      <c r="B6" s="110">
        <f t="shared" si="0"/>
        <v>31200</v>
      </c>
      <c r="C6" s="71">
        <v>4</v>
      </c>
      <c r="D6" s="110">
        <f t="shared" si="1"/>
        <v>39000</v>
      </c>
      <c r="E6" s="74">
        <v>4</v>
      </c>
      <c r="F6" s="111">
        <f t="shared" si="2"/>
        <v>35880</v>
      </c>
    </row>
    <row r="7" spans="1:8" x14ac:dyDescent="0.2">
      <c r="A7" s="68">
        <v>5</v>
      </c>
      <c r="B7" s="110">
        <f t="shared" si="0"/>
        <v>36580</v>
      </c>
      <c r="C7" s="71">
        <v>5</v>
      </c>
      <c r="D7" s="110">
        <f t="shared" si="1"/>
        <v>45730</v>
      </c>
      <c r="E7" s="74">
        <v>5</v>
      </c>
      <c r="F7" s="111">
        <f t="shared" si="2"/>
        <v>42070</v>
      </c>
    </row>
    <row r="8" spans="1:8" x14ac:dyDescent="0.2">
      <c r="A8" s="68">
        <v>6</v>
      </c>
      <c r="B8" s="110">
        <f t="shared" si="0"/>
        <v>41960</v>
      </c>
      <c r="C8" s="71">
        <v>6</v>
      </c>
      <c r="D8" s="110">
        <f t="shared" si="1"/>
        <v>52460</v>
      </c>
      <c r="E8" s="74">
        <v>6</v>
      </c>
      <c r="F8" s="111">
        <f t="shared" si="2"/>
        <v>48260</v>
      </c>
      <c r="H8" s="82"/>
    </row>
    <row r="9" spans="1:8" x14ac:dyDescent="0.2">
      <c r="A9" s="68">
        <v>7</v>
      </c>
      <c r="B9" s="110">
        <f t="shared" si="0"/>
        <v>47340</v>
      </c>
      <c r="C9" s="71">
        <v>7</v>
      </c>
      <c r="D9" s="110">
        <f t="shared" si="1"/>
        <v>59190</v>
      </c>
      <c r="E9" s="74">
        <v>7</v>
      </c>
      <c r="F9" s="111">
        <f t="shared" si="2"/>
        <v>54450</v>
      </c>
    </row>
    <row r="10" spans="1:8" x14ac:dyDescent="0.2">
      <c r="A10" s="68">
        <v>8</v>
      </c>
      <c r="B10" s="110">
        <f t="shared" si="0"/>
        <v>52720</v>
      </c>
      <c r="C10" s="71">
        <v>8</v>
      </c>
      <c r="D10" s="110">
        <f t="shared" si="1"/>
        <v>65920</v>
      </c>
      <c r="E10" s="74">
        <v>8</v>
      </c>
      <c r="F10" s="111">
        <f t="shared" si="2"/>
        <v>60640</v>
      </c>
    </row>
    <row r="11" spans="1:8" x14ac:dyDescent="0.2">
      <c r="A11" s="68">
        <v>9</v>
      </c>
      <c r="B11" s="110">
        <f t="shared" si="0"/>
        <v>58100</v>
      </c>
      <c r="C11" s="71">
        <v>9</v>
      </c>
      <c r="D11" s="110">
        <f t="shared" si="1"/>
        <v>72650</v>
      </c>
      <c r="E11" s="74">
        <v>9</v>
      </c>
      <c r="F11" s="111">
        <f t="shared" si="2"/>
        <v>66830</v>
      </c>
    </row>
    <row r="12" spans="1:8" x14ac:dyDescent="0.2">
      <c r="A12" s="68">
        <v>10</v>
      </c>
      <c r="B12" s="110">
        <f t="shared" si="0"/>
        <v>63480</v>
      </c>
      <c r="C12" s="71">
        <v>10</v>
      </c>
      <c r="D12" s="110">
        <f t="shared" si="1"/>
        <v>79380</v>
      </c>
      <c r="E12" s="74">
        <v>10</v>
      </c>
      <c r="F12" s="111">
        <f t="shared" si="2"/>
        <v>73020</v>
      </c>
      <c r="G12" s="82"/>
    </row>
    <row r="13" spans="1:8" x14ac:dyDescent="0.2">
      <c r="A13" s="68">
        <v>11</v>
      </c>
      <c r="B13" s="110">
        <f t="shared" si="0"/>
        <v>68860</v>
      </c>
      <c r="C13" s="71">
        <v>11</v>
      </c>
      <c r="D13" s="110">
        <f t="shared" si="1"/>
        <v>86110</v>
      </c>
      <c r="E13" s="74">
        <v>11</v>
      </c>
      <c r="F13" s="111">
        <f t="shared" si="2"/>
        <v>79210</v>
      </c>
    </row>
    <row r="14" spans="1:8" x14ac:dyDescent="0.2">
      <c r="A14" s="68">
        <v>12</v>
      </c>
      <c r="B14" s="110">
        <f t="shared" si="0"/>
        <v>74240</v>
      </c>
      <c r="C14" s="71">
        <v>12</v>
      </c>
      <c r="D14" s="110">
        <f t="shared" si="1"/>
        <v>92840</v>
      </c>
      <c r="E14" s="74">
        <v>12</v>
      </c>
      <c r="F14" s="111">
        <f t="shared" si="2"/>
        <v>85400</v>
      </c>
    </row>
    <row r="15" spans="1:8" x14ac:dyDescent="0.2">
      <c r="A15" s="68">
        <v>13</v>
      </c>
      <c r="B15" s="110">
        <f t="shared" si="0"/>
        <v>79620</v>
      </c>
      <c r="C15" s="71">
        <v>13</v>
      </c>
      <c r="D15" s="110">
        <f t="shared" si="1"/>
        <v>99570</v>
      </c>
      <c r="E15" s="74">
        <v>13</v>
      </c>
      <c r="F15" s="111">
        <f t="shared" si="2"/>
        <v>91590</v>
      </c>
    </row>
    <row r="16" spans="1:8" x14ac:dyDescent="0.2">
      <c r="A16" s="68">
        <v>14</v>
      </c>
      <c r="B16" s="110">
        <f t="shared" si="0"/>
        <v>85000</v>
      </c>
      <c r="C16" s="71">
        <v>14</v>
      </c>
      <c r="D16" s="110">
        <f t="shared" si="1"/>
        <v>106300</v>
      </c>
      <c r="E16" s="74">
        <v>14</v>
      </c>
      <c r="F16" s="111">
        <f t="shared" si="2"/>
        <v>97780</v>
      </c>
    </row>
    <row r="17" spans="1:10" x14ac:dyDescent="0.2">
      <c r="A17" s="68">
        <v>15</v>
      </c>
      <c r="B17" s="110">
        <f t="shared" si="0"/>
        <v>90380</v>
      </c>
      <c r="C17" s="71">
        <v>15</v>
      </c>
      <c r="D17" s="110">
        <f t="shared" si="1"/>
        <v>113030</v>
      </c>
      <c r="E17" s="74">
        <v>15</v>
      </c>
      <c r="F17" s="111">
        <f t="shared" si="2"/>
        <v>103970</v>
      </c>
    </row>
    <row r="18" spans="1:10" x14ac:dyDescent="0.2">
      <c r="A18" s="68">
        <v>16</v>
      </c>
      <c r="B18" s="110">
        <f t="shared" si="0"/>
        <v>95760</v>
      </c>
      <c r="C18" s="71">
        <v>16</v>
      </c>
      <c r="D18" s="110">
        <f t="shared" si="1"/>
        <v>119760</v>
      </c>
      <c r="E18" s="74">
        <v>16</v>
      </c>
      <c r="F18" s="111">
        <f t="shared" si="2"/>
        <v>110160</v>
      </c>
    </row>
    <row r="19" spans="1:10" x14ac:dyDescent="0.2">
      <c r="A19" s="68">
        <v>17</v>
      </c>
      <c r="B19" s="110">
        <f t="shared" si="0"/>
        <v>101140</v>
      </c>
      <c r="C19" s="71">
        <v>17</v>
      </c>
      <c r="D19" s="110">
        <f t="shared" si="1"/>
        <v>126490</v>
      </c>
      <c r="E19" s="74">
        <v>17</v>
      </c>
      <c r="F19" s="111">
        <f t="shared" si="2"/>
        <v>116350</v>
      </c>
    </row>
    <row r="20" spans="1:10" x14ac:dyDescent="0.2">
      <c r="A20" s="68">
        <v>18</v>
      </c>
      <c r="B20" s="110">
        <f t="shared" si="0"/>
        <v>106520</v>
      </c>
      <c r="C20" s="71">
        <v>18</v>
      </c>
      <c r="D20" s="110">
        <f t="shared" si="1"/>
        <v>133220</v>
      </c>
      <c r="E20" s="74">
        <v>18</v>
      </c>
      <c r="F20" s="111">
        <f t="shared" si="2"/>
        <v>122540</v>
      </c>
    </row>
    <row r="21" spans="1:10" x14ac:dyDescent="0.2">
      <c r="A21" s="68">
        <v>19</v>
      </c>
      <c r="B21" s="110">
        <f t="shared" si="0"/>
        <v>111900</v>
      </c>
      <c r="C21" s="71">
        <v>19</v>
      </c>
      <c r="D21" s="110">
        <f t="shared" si="1"/>
        <v>139950</v>
      </c>
      <c r="E21" s="74">
        <v>19</v>
      </c>
      <c r="F21" s="111">
        <f t="shared" si="2"/>
        <v>128730</v>
      </c>
    </row>
    <row r="22" spans="1:10" ht="13.5" thickBot="1" x14ac:dyDescent="0.25">
      <c r="A22" s="70">
        <v>20</v>
      </c>
      <c r="B22" s="110">
        <f t="shared" si="0"/>
        <v>117280</v>
      </c>
      <c r="C22" s="73">
        <v>20</v>
      </c>
      <c r="D22" s="110">
        <f t="shared" si="1"/>
        <v>146680</v>
      </c>
      <c r="E22" s="76">
        <v>20</v>
      </c>
      <c r="F22" s="111">
        <f t="shared" si="2"/>
        <v>134920</v>
      </c>
      <c r="G22" t="s">
        <v>488</v>
      </c>
      <c r="H22">
        <f>COUNTA(Calculator!B6:B7)</f>
        <v>2</v>
      </c>
      <c r="I22" t="s">
        <v>489</v>
      </c>
      <c r="J22" t="str" cm="1">
        <f t="array" ref="J22">IF(Calculator!B13=Calculator!J13,"Yes",_xlfn.IFS(AND(H22=1,H25&gt;Calculator!B14,Calculator!B14&gt;0),"Yes",AND(H22=1,H25&lt;Calculator!B14),"No",AND(H22=2,H24&gt;Calculator!B14,Calculator!B14&gt;0),"Yes",AND(H22=2,H24&lt;Calculator!B14),"No"))</f>
        <v>No</v>
      </c>
    </row>
    <row r="23" spans="1:10" x14ac:dyDescent="0.2">
      <c r="A23" s="158" t="s">
        <v>155</v>
      </c>
      <c r="B23" s="159"/>
      <c r="C23" s="159"/>
      <c r="D23" s="159"/>
      <c r="E23" s="159"/>
      <c r="F23" s="159"/>
      <c r="G23" t="s">
        <v>7</v>
      </c>
      <c r="H23" s="45" t="str">
        <f>Calculator!B11</f>
        <v>MA</v>
      </c>
      <c r="I23" t="s">
        <v>490</v>
      </c>
      <c r="J23" t="str">
        <f>IF(AND(H22=2,Calculator!B14&lt;'Poverty guideline table'!H26),"Yes",IF(AND('Poverty guideline table'!H22=1,Calculator!B14&lt;'Poverty guideline table'!H27),"Yes","No"))</f>
        <v>No</v>
      </c>
    </row>
    <row r="24" spans="1:10" ht="24.95" customHeight="1" x14ac:dyDescent="0.2">
      <c r="A24" s="80" t="s">
        <v>491</v>
      </c>
      <c r="B24" s="66">
        <f>(VLOOKUP(Calculator!$B$5,'Poverty guideline table'!A2:B22,2,FALSE))*175%</f>
        <v>73430</v>
      </c>
      <c r="C24" s="80" t="s">
        <v>491</v>
      </c>
      <c r="D24" s="66">
        <f>(VLOOKUP(Calculator!$B$5,'Poverty guideline table'!C2:D22,2,FALSE))*175%</f>
        <v>91805</v>
      </c>
      <c r="E24" s="80" t="s">
        <v>491</v>
      </c>
      <c r="F24" s="66">
        <f>(VLOOKUP(Calculator!$B$5,'Poverty guideline table'!E2:F22,2,FALSE))*175%</f>
        <v>84455</v>
      </c>
      <c r="G24" s="34">
        <v>1.75</v>
      </c>
      <c r="H24" s="22" cm="1">
        <f t="array" ref="H24">INDEX(B24:F25,1,IF(H23="HI",5,IF(H23="AK",3,1)))</f>
        <v>73430</v>
      </c>
    </row>
    <row r="25" spans="1:10" ht="25.5" x14ac:dyDescent="0.2">
      <c r="A25" s="80" t="s">
        <v>492</v>
      </c>
      <c r="B25" s="66">
        <f>(VLOOKUP(Calculator!$B$5,'Poverty guideline table'!A3:B22,2,FALSE))*225%</f>
        <v>94410</v>
      </c>
      <c r="C25" s="80" t="s">
        <v>492</v>
      </c>
      <c r="D25" s="66">
        <f>(VLOOKUP(Calculator!$B$5,'Poverty guideline table'!C3:D22,2,FALSE))*225%</f>
        <v>118035</v>
      </c>
      <c r="E25" s="80" t="s">
        <v>492</v>
      </c>
      <c r="F25" s="66">
        <f>(VLOOKUP(Calculator!$B$5,'Poverty guideline table'!E3:F22,2,FALSE))*225%</f>
        <v>108585</v>
      </c>
      <c r="G25" s="34">
        <v>2.25</v>
      </c>
      <c r="H25" s="22" cm="1">
        <f t="array" ref="H25">INDEX(B25:F25,1,IF(H23="HI",5,IF(H23="AK",3,1)))</f>
        <v>94410</v>
      </c>
    </row>
    <row r="26" spans="1:10" ht="25.5" x14ac:dyDescent="0.2">
      <c r="A26" s="80" t="s">
        <v>493</v>
      </c>
      <c r="B26" s="66">
        <f>(VLOOKUP(Calculator!$B$5,'Poverty guideline table'!A3:B22,2,FALSE))*275%</f>
        <v>115390</v>
      </c>
      <c r="C26" s="80" t="s">
        <v>493</v>
      </c>
      <c r="D26" s="66">
        <f>(VLOOKUP(Calculator!$B$5,'Poverty guideline table'!C3:D22,2,FALSE))*275%</f>
        <v>144265</v>
      </c>
      <c r="E26" s="80" t="s">
        <v>493</v>
      </c>
      <c r="F26" s="66">
        <f>(VLOOKUP(Calculator!$B$5,'Poverty guideline table'!E3:F22,2,FALSE))*275%</f>
        <v>132715</v>
      </c>
      <c r="G26" s="34">
        <v>2.75</v>
      </c>
      <c r="H26" s="22">
        <f>IF($H$23="HI",F26,IF($H$23="AK",D26,B26))</f>
        <v>115390</v>
      </c>
    </row>
    <row r="27" spans="1:10" ht="26.25" thickBot="1" x14ac:dyDescent="0.25">
      <c r="A27" s="80" t="s">
        <v>494</v>
      </c>
      <c r="B27" s="66">
        <f>(VLOOKUP(Calculator!$B$5,'Poverty guideline table'!A3:B22,2,FALSE))*325%</f>
        <v>136370</v>
      </c>
      <c r="C27" s="80" t="s">
        <v>494</v>
      </c>
      <c r="D27" s="66">
        <f>(VLOOKUP(Calculator!$B$5,'Poverty guideline table'!C3:D22,2,FALSE))*325%</f>
        <v>170495</v>
      </c>
      <c r="E27" s="80" t="s">
        <v>494</v>
      </c>
      <c r="F27" s="66">
        <f>(VLOOKUP(Calculator!$B$5,'Poverty guideline table'!E3:F22,2,FALSE))*325%</f>
        <v>156845</v>
      </c>
      <c r="G27" s="34">
        <v>3.25</v>
      </c>
      <c r="H27" s="22">
        <f>IF($H$23="HI",F27,IF($H$23="AK",D27,B27))</f>
        <v>136370</v>
      </c>
    </row>
    <row r="28" spans="1:10" x14ac:dyDescent="0.2">
      <c r="A28" s="160" t="s">
        <v>177</v>
      </c>
      <c r="B28" s="161"/>
      <c r="C28" s="161"/>
      <c r="D28" s="161"/>
      <c r="E28" s="161"/>
      <c r="F28" s="161"/>
      <c r="G28" t="s">
        <v>495</v>
      </c>
      <c r="H28" t="str">
        <f>IF(OR(Calculator!B52=Calculator!D52,Calculator!B52=Calculator!G52,Calculator!B52=Calculator!H52,Calculator!B52=Calculator!I52),"Single","Not Single")</f>
        <v>Single</v>
      </c>
      <c r="I28" t="s">
        <v>496</v>
      </c>
      <c r="J28" t="str" cm="1">
        <f t="array" ref="J28">IF(Calculator!B32=Calculator!J32,"yes",_xlfn.IFS(AND(H28="Single",H29&gt;Calculator!B33),"Yes",AND(H28="Single",H29&lt;Calculator!B33),"No",AND('Poverty guideline table'!H28="Not Single",'Poverty guideline table'!H29&gt;Calculator!B33),"Yes",AND('Poverty guideline table'!H28="Not Single",'Poverty guideline table'!H29&lt;Calculator!B33),"No"))</f>
        <v>Yes</v>
      </c>
    </row>
    <row r="29" spans="1:10" ht="25.5" x14ac:dyDescent="0.2">
      <c r="A29" s="81" t="s">
        <v>491</v>
      </c>
      <c r="B29" s="67">
        <f>VLOOKUP(Calculator!$B$51,'Poverty guideline table'!$A$2:$B$22,2,FALSE)*175%</f>
        <v>26355</v>
      </c>
      <c r="C29" s="81" t="s">
        <v>491</v>
      </c>
      <c r="D29" s="78">
        <f>VLOOKUP(Calculator!B51,'Poverty guideline table'!C2:D22,2,FALSE)*175%</f>
        <v>32917.5</v>
      </c>
      <c r="E29" s="81" t="s">
        <v>491</v>
      </c>
      <c r="F29" s="78">
        <f>VLOOKUP(Calculator!B51,'Poverty guideline table'!E2:F22,2,FALSE)*175%</f>
        <v>30292.5</v>
      </c>
      <c r="G29" s="34">
        <v>1.75</v>
      </c>
      <c r="H29" cm="1">
        <f t="array" ref="H29">INDEX(B29:F29,1,IF(H34="HI",5,IF(H34="AK",3,1)))</f>
        <v>26355</v>
      </c>
      <c r="I29" t="s">
        <v>497</v>
      </c>
      <c r="J29" t="str">
        <f>IF(AND(H28="Single",Calculator!B51&gt;1,Calculator!B33&lt;'Poverty guideline table'!H33),"Yes",IF(AND('Poverty guideline table'!H28&lt;&gt;"Single",Calculator!B51&gt;2,Calculator!B33&lt;'Poverty guideline table'!H32),"Yes",IF(AND('Poverty guideline table'!H28="Single",Calculator!B51=1,Calculator!B33&lt;'Poverty guideline table'!H31),"Yes",IF(AND('Poverty guideline table'!H28&lt;&gt;"Single",Calculator!B51=2,Calculator!B33&lt;'Poverty guideline table'!H31),"Yes","No"))))</f>
        <v>Yes</v>
      </c>
    </row>
    <row r="30" spans="1:10" ht="25.5" x14ac:dyDescent="0.2">
      <c r="A30" s="81" t="s">
        <v>492</v>
      </c>
      <c r="B30" s="67">
        <f>VLOOKUP(Calculator!$B$51,'Poverty guideline table'!$A$2:$B$22,2,FALSE)*225%</f>
        <v>33885</v>
      </c>
      <c r="C30" s="81" t="s">
        <v>492</v>
      </c>
      <c r="D30" s="77">
        <f>VLOOKUP(Calculator!B51,'Poverty guideline table'!C2:D22,2,FALSE)*225%</f>
        <v>42322.5</v>
      </c>
      <c r="E30" s="81" t="s">
        <v>492</v>
      </c>
      <c r="F30" s="77">
        <f>VLOOKUP(Calculator!B51,'Poverty guideline table'!E2:F22,2,FALSE)*225%</f>
        <v>38947.5</v>
      </c>
      <c r="G30" s="34">
        <v>2.25</v>
      </c>
      <c r="H30" cm="1">
        <f t="array" ref="H30">INDEX($B30:$F30,1,IF($H$34="HI",5,IF($H$34="AK",3,1)))</f>
        <v>33885</v>
      </c>
    </row>
    <row r="31" spans="1:10" ht="25.5" x14ac:dyDescent="0.2">
      <c r="A31" s="81" t="s">
        <v>493</v>
      </c>
      <c r="B31" s="67">
        <f>VLOOKUP(Calculator!$B$51,'Poverty guideline table'!A$2:B$22,2,FALSE)*275%</f>
        <v>41415</v>
      </c>
      <c r="C31" s="81" t="s">
        <v>493</v>
      </c>
      <c r="D31" s="67">
        <f>VLOOKUP(Calculator!$B$51,'Poverty guideline table'!C$2:D$22,2,FALSE)*275%</f>
        <v>51727.5</v>
      </c>
      <c r="E31" s="81" t="s">
        <v>493</v>
      </c>
      <c r="F31" s="67">
        <f>VLOOKUP(Calculator!$B$51,'Poverty guideline table'!E$2:F$22,2,FALSE)*275%</f>
        <v>47602.5</v>
      </c>
      <c r="G31" s="34">
        <v>2.75</v>
      </c>
      <c r="H31" cm="1">
        <f t="array" ref="H31">INDEX($B31:$F31,1,IF($H$34="HI",5,IF($H$34="AK",3,1)))</f>
        <v>41415</v>
      </c>
    </row>
    <row r="32" spans="1:10" ht="25.5" x14ac:dyDescent="0.2">
      <c r="A32" s="81" t="s">
        <v>498</v>
      </c>
      <c r="B32" s="67">
        <f>VLOOKUP(Calculator!$B$51,'Poverty guideline table'!A$2:B$22,2,FALSE)*350%</f>
        <v>52710</v>
      </c>
      <c r="C32" s="81" t="s">
        <v>498</v>
      </c>
      <c r="D32" s="67">
        <f>VLOOKUP(Calculator!$B$51,'Poverty guideline table'!C$2:D$22,2,FALSE)*350%</f>
        <v>65835</v>
      </c>
      <c r="E32" s="81" t="s">
        <v>498</v>
      </c>
      <c r="F32" s="67">
        <f>VLOOKUP(Calculator!$B$51,'Poverty guideline table'!E$2:F$22,2,FALSE)*350%</f>
        <v>60585</v>
      </c>
      <c r="G32" s="34">
        <v>3.5</v>
      </c>
      <c r="H32" cm="1">
        <f t="array" ref="H32">INDEX($B32:$F32,1,IF($H$34="HI",5,IF($H$34="AK",3,1)))</f>
        <v>52710</v>
      </c>
    </row>
    <row r="33" spans="1:8" ht="25.5" x14ac:dyDescent="0.2">
      <c r="A33" s="81" t="s">
        <v>499</v>
      </c>
      <c r="B33" s="67">
        <f>VLOOKUP(Calculator!$B$51,'Poverty guideline table'!A$2:B$22,2,FALSE)*400%</f>
        <v>60240</v>
      </c>
      <c r="C33" s="81" t="s">
        <v>499</v>
      </c>
      <c r="D33" s="67">
        <f>VLOOKUP(Calculator!$B$51,'Poverty guideline table'!C$2:D$22,2,FALSE)*400%</f>
        <v>75240</v>
      </c>
      <c r="E33" s="81" t="s">
        <v>499</v>
      </c>
      <c r="F33" s="67">
        <f>VLOOKUP(Calculator!$B$51,'Poverty guideline table'!E$2:F$22,2,FALSE)*400%</f>
        <v>69240</v>
      </c>
      <c r="G33" s="34">
        <v>4</v>
      </c>
      <c r="H33" cm="1">
        <f t="array" ref="H33">INDEX($B33:$F33,1,IF($H$34="HI",5,IF($H$34="AK",3,1)))</f>
        <v>60240</v>
      </c>
    </row>
    <row r="34" spans="1:8" x14ac:dyDescent="0.2">
      <c r="G34" t="s">
        <v>46</v>
      </c>
      <c r="H34" t="str">
        <f>Calculator!B57</f>
        <v>MA</v>
      </c>
    </row>
  </sheetData>
  <sheetProtection sheet="1" objects="1" scenarios="1"/>
  <mergeCells count="5">
    <mergeCell ref="A1:B1"/>
    <mergeCell ref="C1:D1"/>
    <mergeCell ref="E1:F1"/>
    <mergeCell ref="A23:F23"/>
    <mergeCell ref="A28:F28"/>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d29c5fe3-6870-4cdb-befe-9ed0c4ae261b">
      <Terms xmlns="http://schemas.microsoft.com/office/infopath/2007/PartnerControls"/>
    </lcf76f155ced4ddcb4097134ff3c332f>
    <TaxCatchAll xmlns="eae2fb6c-6efd-44e9-882c-04c89f7d4a01"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85B7A87E7D7D8B45846B524179B49AB0" ma:contentTypeVersion="17" ma:contentTypeDescription="Create a new document." ma:contentTypeScope="" ma:versionID="1b79a50b3cc7f2b20cef2c90d4cd5891">
  <xsd:schema xmlns:xsd="http://www.w3.org/2001/XMLSchema" xmlns:xs="http://www.w3.org/2001/XMLSchema" xmlns:p="http://schemas.microsoft.com/office/2006/metadata/properties" xmlns:ns2="eae2fb6c-6efd-44e9-882c-04c89f7d4a01" xmlns:ns3="d29c5fe3-6870-4cdb-befe-9ed0c4ae261b" targetNamespace="http://schemas.microsoft.com/office/2006/metadata/properties" ma:root="true" ma:fieldsID="34d541ac402cf83344987ba986955493" ns2:_="" ns3:_="">
    <xsd:import namespace="eae2fb6c-6efd-44e9-882c-04c89f7d4a01"/>
    <xsd:import namespace="d29c5fe3-6870-4cdb-befe-9ed0c4ae261b"/>
    <xsd:element name="properties">
      <xsd:complexType>
        <xsd:sequence>
          <xsd:element name="documentManagement">
            <xsd:complexType>
              <xsd:all>
                <xsd:element ref="ns2:SharedWithDetails" minOccurs="0"/>
                <xsd:element ref="ns2:SharedWithUsers" minOccurs="0"/>
                <xsd:element ref="ns2:LastSharedByUser" minOccurs="0"/>
                <xsd:element ref="ns2:LastSharedByTime" minOccurs="0"/>
                <xsd:element ref="ns3:MediaServiceMetadata" minOccurs="0"/>
                <xsd:element ref="ns3:MediaServiceFastMetadata" minOccurs="0"/>
                <xsd:element ref="ns3:MediaServiceEventHashCode" minOccurs="0"/>
                <xsd:element ref="ns3:MediaServiceGenerationTime" minOccurs="0"/>
                <xsd:element ref="ns3:MediaServiceAutoKeyPoints" minOccurs="0"/>
                <xsd:element ref="ns3:MediaServiceKeyPoints" minOccurs="0"/>
                <xsd:element ref="ns3:MediaServiceSearchProperties" minOccurs="0"/>
                <xsd:element ref="ns3:MediaServiceObjectDetectorVersions" minOccurs="0"/>
                <xsd:element ref="ns3:lcf76f155ced4ddcb4097134ff3c332f" minOccurs="0"/>
                <xsd:element ref="ns2:TaxCatchAll" minOccurs="0"/>
                <xsd:element ref="ns3:MediaServiceOCR"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ae2fb6c-6efd-44e9-882c-04c89f7d4a01" elementFormDefault="qualified">
    <xsd:import namespace="http://schemas.microsoft.com/office/2006/documentManagement/types"/>
    <xsd:import namespace="http://schemas.microsoft.com/office/infopath/2007/PartnerControls"/>
    <xsd:element name="SharedWithDetails" ma:index="8" nillable="true" ma:displayName="Shared With Details" ma:description="" ma:internalName="SharedWithDetails" ma:readOnly="true">
      <xsd:simpleType>
        <xsd:restriction base="dms:Note">
          <xsd:maxLength value="255"/>
        </xsd:restriction>
      </xsd:simpleType>
    </xsd:element>
    <xsd:element name="SharedWithUsers" ma:index="9"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LastSharedByUser" ma:index="10" nillable="true" ma:displayName="Last Shared By User" ma:description="" ma:internalName="LastSharedByUser" ma:readOnly="true">
      <xsd:simpleType>
        <xsd:restriction base="dms:Note">
          <xsd:maxLength value="255"/>
        </xsd:restriction>
      </xsd:simpleType>
    </xsd:element>
    <xsd:element name="LastSharedByTime" ma:index="11" nillable="true" ma:displayName="Last Shared By Time" ma:description="" ma:internalName="LastSharedByTime" ma:readOnly="true">
      <xsd:simpleType>
        <xsd:restriction base="dms:DateTime"/>
      </xsd:simpleType>
    </xsd:element>
    <xsd:element name="TaxCatchAll" ma:index="22" nillable="true" ma:displayName="Taxonomy Catch All Column" ma:hidden="true" ma:list="{b40b6731-c558-4a3d-bb47-79fc234330a8}" ma:internalName="TaxCatchAll" ma:showField="CatchAllData" ma:web="eae2fb6c-6efd-44e9-882c-04c89f7d4a01">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d29c5fe3-6870-4cdb-befe-9ed0c4ae261b"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SearchProperties" ma:index="18" nillable="true" ma:displayName="MediaServiceSearchProperties" ma:hidden="true" ma:internalName="MediaServiceSearchProperties" ma:readOnly="true">
      <xsd:simpleType>
        <xsd:restriction base="dms:Note"/>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0e6962ab-0744-46a3-9e0f-3fe952fbdfd0" ma:termSetId="09814cd3-568e-fe90-9814-8d621ff8fb84" ma:anchorId="fba54fb3-c3e1-fe81-a776-ca4b69148c4d" ma:open="true" ma:isKeyword="false">
      <xsd:complexType>
        <xsd:sequence>
          <xsd:element ref="pc:Terms" minOccurs="0" maxOccurs="1"/>
        </xsd:sequence>
      </xsd:complexType>
    </xsd:element>
    <xsd:element name="MediaServiceOCR" ma:index="23" nillable="true" ma:displayName="Extracted Text" ma:internalName="MediaServiceOCR" ma:readOnly="true">
      <xsd:simpleType>
        <xsd:restriction base="dms:Note">
          <xsd:maxLength value="255"/>
        </xsd:restriction>
      </xsd:simpleType>
    </xsd:element>
    <xsd:element name="MediaServiceDateTaken" ma:index="24" nillable="true" ma:displayName="MediaServiceDateTaken" ma:description="" ma:hidden="true" ma:indexed="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8D4B3F6-D682-4803-A274-34F848293848}">
  <ds:schemaRefs>
    <ds:schemaRef ds:uri="http://schemas.microsoft.com/office/2006/metadata/properties"/>
    <ds:schemaRef ds:uri="http://schemas.microsoft.com/office/infopath/2007/PartnerControls"/>
    <ds:schemaRef ds:uri="d29c5fe3-6870-4cdb-befe-9ed0c4ae261b"/>
    <ds:schemaRef ds:uri="eae2fb6c-6efd-44e9-882c-04c89f7d4a01"/>
  </ds:schemaRefs>
</ds:datastoreItem>
</file>

<file path=customXml/itemProps2.xml><?xml version="1.0" encoding="utf-8"?>
<ds:datastoreItem xmlns:ds="http://schemas.openxmlformats.org/officeDocument/2006/customXml" ds:itemID="{94290768-2555-472C-8123-E90011EC4D0B}">
  <ds:schemaRefs>
    <ds:schemaRef ds:uri="http://schemas.microsoft.com/sharepoint/v3/contenttype/forms"/>
  </ds:schemaRefs>
</ds:datastoreItem>
</file>

<file path=customXml/itemProps3.xml><?xml version="1.0" encoding="utf-8"?>
<ds:datastoreItem xmlns:ds="http://schemas.openxmlformats.org/officeDocument/2006/customXml" ds:itemID="{C3C4B577-4B3E-459B-BF0F-B7EBBE48718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ae2fb6c-6efd-44e9-882c-04c89f7d4a01"/>
    <ds:schemaRef ds:uri="d29c5fe3-6870-4cdb-befe-9ed0c4ae261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Student Info</vt:lpstr>
      <vt:lpstr>Calculator</vt:lpstr>
      <vt:lpstr>Formula A-Parents</vt:lpstr>
      <vt:lpstr>Formula A- Student</vt:lpstr>
      <vt:lpstr>Table A1 </vt:lpstr>
      <vt:lpstr>Tables A2, A3, A4</vt:lpstr>
      <vt:lpstr>Table A5</vt:lpstr>
      <vt:lpstr>Formula B</vt:lpstr>
      <vt:lpstr>Table B1</vt:lpstr>
      <vt:lpstr>Table B2, B3</vt:lpstr>
      <vt:lpstr>Formula C</vt:lpstr>
      <vt:lpstr>Table C1</vt:lpstr>
      <vt:lpstr>Table C2,C3,C4</vt:lpstr>
      <vt:lpstr>Tables C5,C6</vt:lpstr>
      <vt:lpstr>Table 23</vt:lpstr>
      <vt:lpstr>Poverty guideline table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2024-25 Draft Student Aid Index (SAI) and Pell Grant Eligibility Guide</dc:title>
  <dc:subject>A preliminary introduction to the new calculation for federal student aid eligibility using the Student Aid Index</dc:subject>
  <dc:creator>U.S. Department of Education, Office Federal Student Aid</dc:creator>
  <cp:keywords>"Student Aid Index, SAI, Pell Grant, Pell,"</cp:keywords>
  <dc:description/>
  <cp:lastModifiedBy>Perez Velazquez, Carlos</cp:lastModifiedBy>
  <cp:revision/>
  <dcterms:created xsi:type="dcterms:W3CDTF">2023-10-06T16:47:20Z</dcterms:created>
  <dcterms:modified xsi:type="dcterms:W3CDTF">2026-03-18T18:58:26Z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0x01010085B7A87E7D7D8B45846B524179B49AB0</vt:lpwstr>
  </property>
  <property fmtid="{D5CDD505-2E9C-101B-9397-08002B2CF9AE}" pid="3" name="MediaServiceImageTags">
    <vt:lpwstr/>
  </property>
</Properties>
</file>